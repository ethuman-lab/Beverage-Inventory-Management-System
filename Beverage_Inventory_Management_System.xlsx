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inthuman/Desktop/"/>
    </mc:Choice>
  </mc:AlternateContent>
  <xr:revisionPtr revIDLastSave="0" documentId="13_ncr:1_{5EAEE953-BC78-F84B-ACE3-CB7628DEFB27}" xr6:coauthVersionLast="47" xr6:coauthVersionMax="47" xr10:uidLastSave="{00000000-0000-0000-0000-000000000000}"/>
  <bookViews>
    <workbookView xWindow="0" yWindow="0" windowWidth="40960" windowHeight="23040" activeTab="12" xr2:uid="{6B9A0A21-185D-4C8F-AF65-B5AA51AEF5F5}"/>
  </bookViews>
  <sheets>
    <sheet name="2025 Master" sheetId="17" r:id="rId1"/>
    <sheet name="Jan" sheetId="18" r:id="rId2"/>
    <sheet name="Feb" sheetId="19" r:id="rId3"/>
    <sheet name="Mar" sheetId="20" r:id="rId4"/>
    <sheet name="Apr" sheetId="21" r:id="rId5"/>
    <sheet name="May" sheetId="30" r:id="rId6"/>
    <sheet name="June" sheetId="31" r:id="rId7"/>
    <sheet name="July" sheetId="32" r:id="rId8"/>
    <sheet name="August" sheetId="33" r:id="rId9"/>
    <sheet name="Sept" sheetId="34" r:id="rId10"/>
    <sheet name="October" sheetId="35" r:id="rId11"/>
    <sheet name="November" sheetId="36" r:id="rId12"/>
    <sheet name="December" sheetId="37" r:id="rId13"/>
  </sheet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3" i="37" l="1"/>
  <c r="K163" i="37" s="1"/>
  <c r="H162" i="37"/>
  <c r="K162" i="37" s="1"/>
  <c r="H161" i="37"/>
  <c r="K161" i="37" s="1"/>
  <c r="H160" i="37"/>
  <c r="K160" i="37" s="1"/>
  <c r="H159" i="37"/>
  <c r="K159" i="37" s="1"/>
  <c r="H158" i="37"/>
  <c r="K158" i="37" s="1"/>
  <c r="H156" i="37"/>
  <c r="K156" i="37" s="1"/>
  <c r="H155" i="37"/>
  <c r="K155" i="37" s="1"/>
  <c r="H154" i="37"/>
  <c r="K154" i="37" s="1"/>
  <c r="H153" i="37"/>
  <c r="K153" i="37" s="1"/>
  <c r="H152" i="37"/>
  <c r="K152" i="37" s="1"/>
  <c r="H151" i="37"/>
  <c r="K151" i="37" s="1"/>
  <c r="H150" i="37"/>
  <c r="K150" i="37" s="1"/>
  <c r="H149" i="37"/>
  <c r="K149" i="37" s="1"/>
  <c r="H148" i="37"/>
  <c r="K148" i="37" s="1"/>
  <c r="H147" i="37"/>
  <c r="K147" i="37" s="1"/>
  <c r="H146" i="37"/>
  <c r="K146" i="37" s="1"/>
  <c r="H145" i="37"/>
  <c r="K145" i="37" s="1"/>
  <c r="H144" i="37"/>
  <c r="K144" i="37" s="1"/>
  <c r="H143" i="37"/>
  <c r="K143" i="37" s="1"/>
  <c r="H142" i="37"/>
  <c r="K142" i="37" s="1"/>
  <c r="H141" i="37"/>
  <c r="K141" i="37" s="1"/>
  <c r="H140" i="37"/>
  <c r="K140" i="37" s="1"/>
  <c r="H139" i="37"/>
  <c r="K139" i="37" s="1"/>
  <c r="H138" i="37"/>
  <c r="K138" i="37" s="1"/>
  <c r="K137" i="37"/>
  <c r="H136" i="37"/>
  <c r="K136" i="37" s="1"/>
  <c r="H135" i="37"/>
  <c r="K135" i="37" s="1"/>
  <c r="H127" i="37"/>
  <c r="K127" i="37" s="1"/>
  <c r="H126" i="37"/>
  <c r="K126" i="37" s="1"/>
  <c r="H125" i="37"/>
  <c r="K125" i="37" s="1"/>
  <c r="H124" i="37"/>
  <c r="K124" i="37" s="1"/>
  <c r="H123" i="37"/>
  <c r="K123" i="37" s="1"/>
  <c r="H122" i="37"/>
  <c r="K122" i="37" s="1"/>
  <c r="H121" i="37"/>
  <c r="K121" i="37" s="1"/>
  <c r="H120" i="37"/>
  <c r="K120" i="37" s="1"/>
  <c r="H119" i="37"/>
  <c r="K119" i="37" s="1"/>
  <c r="H118" i="37"/>
  <c r="K118" i="37" s="1"/>
  <c r="H117" i="37"/>
  <c r="K117" i="37" s="1"/>
  <c r="H116" i="37"/>
  <c r="K116" i="37" s="1"/>
  <c r="H115" i="37"/>
  <c r="K115" i="37" s="1"/>
  <c r="H114" i="37"/>
  <c r="K114" i="37" s="1"/>
  <c r="H113" i="37"/>
  <c r="K113" i="37" s="1"/>
  <c r="H112" i="37"/>
  <c r="K112" i="37" s="1"/>
  <c r="H111" i="37"/>
  <c r="K111" i="37" s="1"/>
  <c r="H110" i="37"/>
  <c r="K110" i="37" s="1"/>
  <c r="H109" i="37"/>
  <c r="K109" i="37" s="1"/>
  <c r="H108" i="37"/>
  <c r="K108" i="37" s="1"/>
  <c r="H107" i="37"/>
  <c r="K107" i="37" s="1"/>
  <c r="H106" i="37"/>
  <c r="K106" i="37" s="1"/>
  <c r="H102" i="37"/>
  <c r="K102" i="37" s="1"/>
  <c r="H101" i="37"/>
  <c r="K101" i="37" s="1"/>
  <c r="H100" i="37"/>
  <c r="K100" i="37" s="1"/>
  <c r="H99" i="37"/>
  <c r="K99" i="37" s="1"/>
  <c r="H98" i="37"/>
  <c r="K98" i="37" s="1"/>
  <c r="H97" i="37"/>
  <c r="K97" i="37" s="1"/>
  <c r="H96" i="37"/>
  <c r="K96" i="37" s="1"/>
  <c r="H95" i="37"/>
  <c r="K95" i="37" s="1"/>
  <c r="H94" i="37"/>
  <c r="K94" i="37" s="1"/>
  <c r="H93" i="37"/>
  <c r="K93" i="37" s="1"/>
  <c r="K92" i="37"/>
  <c r="K91" i="37"/>
  <c r="H90" i="37"/>
  <c r="K90" i="37" s="1"/>
  <c r="H89" i="37"/>
  <c r="K89" i="37" s="1"/>
  <c r="H88" i="37"/>
  <c r="K88" i="37" s="1"/>
  <c r="H87" i="37"/>
  <c r="K87" i="37" s="1"/>
  <c r="H86" i="37"/>
  <c r="K86" i="37" s="1"/>
  <c r="H85" i="37"/>
  <c r="K85" i="37" s="1"/>
  <c r="H84" i="37"/>
  <c r="K84" i="37" s="1"/>
  <c r="H83" i="37"/>
  <c r="K83" i="37" s="1"/>
  <c r="H82" i="37"/>
  <c r="K82" i="37" s="1"/>
  <c r="H81" i="37"/>
  <c r="K81" i="37" s="1"/>
  <c r="H80" i="37"/>
  <c r="K80" i="37" s="1"/>
  <c r="H79" i="37"/>
  <c r="K79" i="37" s="1"/>
  <c r="H78" i="37"/>
  <c r="K78" i="37" s="1"/>
  <c r="K77" i="37"/>
  <c r="H76" i="37"/>
  <c r="K76" i="37" s="1"/>
  <c r="H75" i="37"/>
  <c r="K75" i="37" s="1"/>
  <c r="H74" i="37"/>
  <c r="K74" i="37" s="1"/>
  <c r="H73" i="37"/>
  <c r="K73" i="37" s="1"/>
  <c r="H72" i="37"/>
  <c r="K72" i="37" s="1"/>
  <c r="J70" i="37"/>
  <c r="J133" i="37" s="1"/>
  <c r="H67" i="37"/>
  <c r="K67" i="37" s="1"/>
  <c r="H66" i="37"/>
  <c r="K66" i="37" s="1"/>
  <c r="H65" i="37"/>
  <c r="K65" i="37" s="1"/>
  <c r="H64" i="37"/>
  <c r="K64" i="37" s="1"/>
  <c r="H63" i="37"/>
  <c r="K63" i="37" s="1"/>
  <c r="H62" i="37"/>
  <c r="K62" i="37" s="1"/>
  <c r="H61" i="37"/>
  <c r="K61" i="37" s="1"/>
  <c r="H60" i="37"/>
  <c r="K60" i="37" s="1"/>
  <c r="H59" i="37"/>
  <c r="K59" i="37" s="1"/>
  <c r="H58" i="37"/>
  <c r="K58" i="37" s="1"/>
  <c r="H57" i="37"/>
  <c r="K57" i="37" s="1"/>
  <c r="H56" i="37"/>
  <c r="K56" i="37" s="1"/>
  <c r="H55" i="37"/>
  <c r="K55" i="37" s="1"/>
  <c r="H54" i="37"/>
  <c r="K54" i="37" s="1"/>
  <c r="H53" i="37"/>
  <c r="K53" i="37" s="1"/>
  <c r="H52" i="37"/>
  <c r="K52" i="37" s="1"/>
  <c r="H51" i="37"/>
  <c r="K51" i="37" s="1"/>
  <c r="H50" i="37"/>
  <c r="K50" i="37" s="1"/>
  <c r="H49" i="37"/>
  <c r="K49" i="37" s="1"/>
  <c r="H48" i="37"/>
  <c r="K48" i="37" s="1"/>
  <c r="H47" i="37"/>
  <c r="K47" i="37" s="1"/>
  <c r="H46" i="37"/>
  <c r="K46" i="37" s="1"/>
  <c r="H45" i="37"/>
  <c r="K45" i="37" s="1"/>
  <c r="H44" i="37"/>
  <c r="K44" i="37" s="1"/>
  <c r="H43" i="37"/>
  <c r="K43" i="37" s="1"/>
  <c r="H42" i="37"/>
  <c r="K42" i="37" s="1"/>
  <c r="H41" i="37"/>
  <c r="K41" i="37" s="1"/>
  <c r="H40" i="37"/>
  <c r="K40" i="37" s="1"/>
  <c r="H39" i="37"/>
  <c r="K39" i="37" s="1"/>
  <c r="H38" i="37"/>
  <c r="K38" i="37" s="1"/>
  <c r="H37" i="37"/>
  <c r="K37" i="37" s="1"/>
  <c r="H36" i="37"/>
  <c r="K36" i="37" s="1"/>
  <c r="H35" i="37"/>
  <c r="K35" i="37" s="1"/>
  <c r="H34" i="37"/>
  <c r="K34" i="37" s="1"/>
  <c r="H33" i="37"/>
  <c r="K33" i="37" s="1"/>
  <c r="H32" i="37"/>
  <c r="K32" i="37" s="1"/>
  <c r="H31" i="37"/>
  <c r="K31" i="37" s="1"/>
  <c r="H30" i="37"/>
  <c r="K30" i="37" s="1"/>
  <c r="H29" i="37"/>
  <c r="K29" i="37" s="1"/>
  <c r="H28" i="37"/>
  <c r="K28" i="37" s="1"/>
  <c r="H27" i="37"/>
  <c r="K27" i="37" s="1"/>
  <c r="H26" i="37"/>
  <c r="K26" i="37" s="1"/>
  <c r="H25" i="37"/>
  <c r="K25" i="37" s="1"/>
  <c r="H24" i="37"/>
  <c r="K24" i="37" s="1"/>
  <c r="H23" i="37"/>
  <c r="K23" i="37" s="1"/>
  <c r="H22" i="37"/>
  <c r="K22" i="37" s="1"/>
  <c r="H21" i="37"/>
  <c r="K21" i="37" s="1"/>
  <c r="H20" i="37"/>
  <c r="K20" i="37" s="1"/>
  <c r="H19" i="37"/>
  <c r="K19" i="37" s="1"/>
  <c r="H18" i="37"/>
  <c r="K18" i="37" s="1"/>
  <c r="H17" i="37"/>
  <c r="K17" i="37" s="1"/>
  <c r="H16" i="37"/>
  <c r="K16" i="37" s="1"/>
  <c r="H15" i="37"/>
  <c r="K15" i="37" s="1"/>
  <c r="H14" i="37"/>
  <c r="K14" i="37" s="1"/>
  <c r="H13" i="37"/>
  <c r="K13" i="37" s="1"/>
  <c r="H12" i="37"/>
  <c r="K12" i="37" s="1"/>
  <c r="H11" i="37"/>
  <c r="K11" i="37" s="1"/>
  <c r="H10" i="37"/>
  <c r="K10" i="37" s="1"/>
  <c r="H9" i="37"/>
  <c r="K9" i="37" s="1"/>
  <c r="H8" i="37"/>
  <c r="K8" i="37" s="1"/>
  <c r="H7" i="37"/>
  <c r="K7" i="37" s="1"/>
  <c r="H6" i="37"/>
  <c r="K6" i="37" s="1"/>
  <c r="H167" i="36"/>
  <c r="K167" i="36" s="1"/>
  <c r="H165" i="36"/>
  <c r="K165" i="36" s="1"/>
  <c r="H164" i="36"/>
  <c r="K164" i="36" s="1"/>
  <c r="H163" i="36"/>
  <c r="K163" i="36" s="1"/>
  <c r="H162" i="36"/>
  <c r="K162" i="36" s="1"/>
  <c r="K161" i="36"/>
  <c r="H161" i="36"/>
  <c r="H159" i="36"/>
  <c r="K159" i="36" s="1"/>
  <c r="H158" i="36"/>
  <c r="K158" i="36" s="1"/>
  <c r="H157" i="36"/>
  <c r="K157" i="36" s="1"/>
  <c r="H156" i="36"/>
  <c r="K156" i="36" s="1"/>
  <c r="H155" i="36"/>
  <c r="K155" i="36" s="1"/>
  <c r="K154" i="36"/>
  <c r="H154" i="36"/>
  <c r="H153" i="36"/>
  <c r="K153" i="36" s="1"/>
  <c r="H152" i="36"/>
  <c r="K152" i="36" s="1"/>
  <c r="H151" i="36"/>
  <c r="K151" i="36" s="1"/>
  <c r="H150" i="36"/>
  <c r="K150" i="36" s="1"/>
  <c r="H149" i="36"/>
  <c r="K149" i="36" s="1"/>
  <c r="K148" i="36"/>
  <c r="H148" i="36"/>
  <c r="H147" i="36"/>
  <c r="K147" i="36" s="1"/>
  <c r="H146" i="36"/>
  <c r="K146" i="36" s="1"/>
  <c r="H145" i="36"/>
  <c r="K145" i="36" s="1"/>
  <c r="H144" i="36"/>
  <c r="K144" i="36" s="1"/>
  <c r="H143" i="36"/>
  <c r="K143" i="36" s="1"/>
  <c r="K142" i="36"/>
  <c r="H142" i="36"/>
  <c r="H141" i="36"/>
  <c r="K141" i="36" s="1"/>
  <c r="K140" i="36"/>
  <c r="H139" i="36"/>
  <c r="K139" i="36" s="1"/>
  <c r="H138" i="36"/>
  <c r="K138" i="36" s="1"/>
  <c r="H130" i="36"/>
  <c r="K130" i="36" s="1"/>
  <c r="K129" i="36"/>
  <c r="H129" i="36"/>
  <c r="H128" i="36"/>
  <c r="K128" i="36" s="1"/>
  <c r="H127" i="36"/>
  <c r="K127" i="36" s="1"/>
  <c r="H126" i="36"/>
  <c r="K126" i="36" s="1"/>
  <c r="H125" i="36"/>
  <c r="K125" i="36" s="1"/>
  <c r="H124" i="36"/>
  <c r="K124" i="36" s="1"/>
  <c r="K123" i="36"/>
  <c r="H123" i="36"/>
  <c r="H122" i="36"/>
  <c r="K122" i="36" s="1"/>
  <c r="H121" i="36"/>
  <c r="K121" i="36" s="1"/>
  <c r="H120" i="36"/>
  <c r="K120" i="36" s="1"/>
  <c r="H119" i="36"/>
  <c r="K119" i="36" s="1"/>
  <c r="H118" i="36"/>
  <c r="K118" i="36" s="1"/>
  <c r="K117" i="36"/>
  <c r="H117" i="36"/>
  <c r="H116" i="36"/>
  <c r="K116" i="36" s="1"/>
  <c r="H115" i="36"/>
  <c r="K115" i="36" s="1"/>
  <c r="H114" i="36"/>
  <c r="K114" i="36" s="1"/>
  <c r="H113" i="36"/>
  <c r="K113" i="36" s="1"/>
  <c r="H112" i="36"/>
  <c r="K112" i="36" s="1"/>
  <c r="K111" i="36"/>
  <c r="H111" i="36"/>
  <c r="H110" i="36"/>
  <c r="K110" i="36" s="1"/>
  <c r="H109" i="36"/>
  <c r="K109" i="36" s="1"/>
  <c r="H105" i="36"/>
  <c r="K105" i="36" s="1"/>
  <c r="K104" i="36"/>
  <c r="H104" i="36"/>
  <c r="K103" i="36"/>
  <c r="H103" i="36"/>
  <c r="K102" i="36"/>
  <c r="H102" i="36"/>
  <c r="K101" i="36"/>
  <c r="H101" i="36"/>
  <c r="H100" i="36"/>
  <c r="K100" i="36" s="1"/>
  <c r="H99" i="36"/>
  <c r="K99" i="36" s="1"/>
  <c r="K98" i="36"/>
  <c r="H98" i="36"/>
  <c r="K97" i="36"/>
  <c r="H97" i="36"/>
  <c r="K96" i="36"/>
  <c r="H96" i="36"/>
  <c r="K95" i="36"/>
  <c r="H95" i="36"/>
  <c r="K94" i="36"/>
  <c r="K93" i="36"/>
  <c r="K92" i="36"/>
  <c r="H91" i="36"/>
  <c r="K91" i="36" s="1"/>
  <c r="H90" i="36"/>
  <c r="K90" i="36" s="1"/>
  <c r="K89" i="36"/>
  <c r="H89" i="36"/>
  <c r="H88" i="36"/>
  <c r="K88" i="36" s="1"/>
  <c r="H87" i="36"/>
  <c r="K87" i="36" s="1"/>
  <c r="H86" i="36"/>
  <c r="K86" i="36" s="1"/>
  <c r="H85" i="36"/>
  <c r="K85" i="36" s="1"/>
  <c r="H84" i="36"/>
  <c r="K84" i="36" s="1"/>
  <c r="K83" i="36"/>
  <c r="H83" i="36"/>
  <c r="H82" i="36"/>
  <c r="K82" i="36" s="1"/>
  <c r="H81" i="36"/>
  <c r="K81" i="36" s="1"/>
  <c r="H80" i="36"/>
  <c r="K80" i="36" s="1"/>
  <c r="H79" i="36"/>
  <c r="K79" i="36" s="1"/>
  <c r="H78" i="36"/>
  <c r="K78" i="36" s="1"/>
  <c r="K77" i="36"/>
  <c r="K76" i="36"/>
  <c r="H76" i="36"/>
  <c r="K75" i="36"/>
  <c r="H75" i="36"/>
  <c r="H74" i="36"/>
  <c r="K74" i="36" s="1"/>
  <c r="H73" i="36"/>
  <c r="K73" i="36" s="1"/>
  <c r="K72" i="36"/>
  <c r="H72" i="36"/>
  <c r="J70" i="36"/>
  <c r="J136" i="36" s="1"/>
  <c r="K67" i="36"/>
  <c r="H67" i="36"/>
  <c r="H66" i="36"/>
  <c r="K66" i="36" s="1"/>
  <c r="H65" i="36"/>
  <c r="K65" i="36" s="1"/>
  <c r="H64" i="36"/>
  <c r="K64" i="36" s="1"/>
  <c r="H63" i="36"/>
  <c r="K63" i="36" s="1"/>
  <c r="H62" i="36"/>
  <c r="K62" i="36" s="1"/>
  <c r="K61" i="36"/>
  <c r="H61" i="36"/>
  <c r="H60" i="36"/>
  <c r="K60" i="36" s="1"/>
  <c r="H59" i="36"/>
  <c r="K59" i="36" s="1"/>
  <c r="H58" i="36"/>
  <c r="K58" i="36" s="1"/>
  <c r="H57" i="36"/>
  <c r="K57" i="36" s="1"/>
  <c r="H56" i="36"/>
  <c r="K56" i="36" s="1"/>
  <c r="K55" i="36"/>
  <c r="H55" i="36"/>
  <c r="H54" i="36"/>
  <c r="K54" i="36" s="1"/>
  <c r="H53" i="36"/>
  <c r="K53" i="36" s="1"/>
  <c r="H52" i="36"/>
  <c r="K52" i="36" s="1"/>
  <c r="H51" i="36"/>
  <c r="K51" i="36" s="1"/>
  <c r="H50" i="36"/>
  <c r="K50" i="36" s="1"/>
  <c r="K49" i="36"/>
  <c r="H49" i="36"/>
  <c r="H48" i="36"/>
  <c r="K48" i="36" s="1"/>
  <c r="H47" i="36"/>
  <c r="K47" i="36" s="1"/>
  <c r="H46" i="36"/>
  <c r="K46" i="36" s="1"/>
  <c r="H45" i="36"/>
  <c r="K45" i="36" s="1"/>
  <c r="H44" i="36"/>
  <c r="K44" i="36" s="1"/>
  <c r="K43" i="36"/>
  <c r="H43" i="36"/>
  <c r="H42" i="36"/>
  <c r="K42" i="36" s="1"/>
  <c r="H41" i="36"/>
  <c r="K41" i="36" s="1"/>
  <c r="H40" i="36"/>
  <c r="K40" i="36" s="1"/>
  <c r="H39" i="36"/>
  <c r="K39" i="36" s="1"/>
  <c r="H38" i="36"/>
  <c r="K38" i="36" s="1"/>
  <c r="K37" i="36"/>
  <c r="H37" i="36"/>
  <c r="H36" i="36"/>
  <c r="K36" i="36" s="1"/>
  <c r="H35" i="36"/>
  <c r="K35" i="36" s="1"/>
  <c r="H34" i="36"/>
  <c r="K34" i="36" s="1"/>
  <c r="H33" i="36"/>
  <c r="K33" i="36" s="1"/>
  <c r="H32" i="36"/>
  <c r="K32" i="36" s="1"/>
  <c r="K31" i="36"/>
  <c r="H31" i="36"/>
  <c r="H30" i="36"/>
  <c r="K30" i="36" s="1"/>
  <c r="H29" i="36"/>
  <c r="K29" i="36" s="1"/>
  <c r="H28" i="36"/>
  <c r="K28" i="36" s="1"/>
  <c r="H27" i="36"/>
  <c r="K27" i="36" s="1"/>
  <c r="H26" i="36"/>
  <c r="K26" i="36" s="1"/>
  <c r="K25" i="36"/>
  <c r="H25" i="36"/>
  <c r="H24" i="36"/>
  <c r="K24" i="36" s="1"/>
  <c r="H23" i="36"/>
  <c r="K23" i="36" s="1"/>
  <c r="H22" i="36"/>
  <c r="K22" i="36" s="1"/>
  <c r="H21" i="36"/>
  <c r="K21" i="36" s="1"/>
  <c r="H20" i="36"/>
  <c r="K20" i="36" s="1"/>
  <c r="K19" i="36"/>
  <c r="H19" i="36"/>
  <c r="H18" i="36"/>
  <c r="K18" i="36" s="1"/>
  <c r="H17" i="36"/>
  <c r="K17" i="36" s="1"/>
  <c r="H16" i="36"/>
  <c r="K16" i="36" s="1"/>
  <c r="H15" i="36"/>
  <c r="K15" i="36" s="1"/>
  <c r="H14" i="36"/>
  <c r="K14" i="36" s="1"/>
  <c r="K13" i="36"/>
  <c r="H13" i="36"/>
  <c r="H12" i="36"/>
  <c r="K12" i="36" s="1"/>
  <c r="H11" i="36"/>
  <c r="K11" i="36" s="1"/>
  <c r="H10" i="36"/>
  <c r="K10" i="36" s="1"/>
  <c r="H9" i="36"/>
  <c r="K9" i="36" s="1"/>
  <c r="H8" i="36"/>
  <c r="K8" i="36" s="1"/>
  <c r="K7" i="36"/>
  <c r="H7" i="36"/>
  <c r="H6" i="36"/>
  <c r="K6" i="36" s="1"/>
  <c r="H167" i="35"/>
  <c r="K167" i="35" s="1"/>
  <c r="H165" i="35"/>
  <c r="K165" i="35" s="1"/>
  <c r="H164" i="35"/>
  <c r="K164" i="35" s="1"/>
  <c r="H163" i="35"/>
  <c r="K163" i="35" s="1"/>
  <c r="H162" i="35"/>
  <c r="K162" i="35" s="1"/>
  <c r="H161" i="35"/>
  <c r="K161" i="35" s="1"/>
  <c r="H159" i="35"/>
  <c r="K159" i="35" s="1"/>
  <c r="H158" i="35"/>
  <c r="K158" i="35" s="1"/>
  <c r="H157" i="35"/>
  <c r="K157" i="35" s="1"/>
  <c r="H156" i="35"/>
  <c r="K156" i="35" s="1"/>
  <c r="H155" i="35"/>
  <c r="K155" i="35" s="1"/>
  <c r="H154" i="35"/>
  <c r="K154" i="35" s="1"/>
  <c r="H153" i="35"/>
  <c r="K153" i="35" s="1"/>
  <c r="H152" i="35"/>
  <c r="K152" i="35" s="1"/>
  <c r="H151" i="35"/>
  <c r="K151" i="35" s="1"/>
  <c r="H150" i="35"/>
  <c r="K150" i="35" s="1"/>
  <c r="H149" i="35"/>
  <c r="K149" i="35" s="1"/>
  <c r="H148" i="35"/>
  <c r="K148" i="35" s="1"/>
  <c r="H147" i="35"/>
  <c r="K147" i="35" s="1"/>
  <c r="H146" i="35"/>
  <c r="K146" i="35" s="1"/>
  <c r="H145" i="35"/>
  <c r="K145" i="35" s="1"/>
  <c r="H144" i="35"/>
  <c r="K144" i="35" s="1"/>
  <c r="H143" i="35"/>
  <c r="K143" i="35" s="1"/>
  <c r="H142" i="35"/>
  <c r="K142" i="35" s="1"/>
  <c r="H141" i="35"/>
  <c r="K141" i="35" s="1"/>
  <c r="K140" i="35"/>
  <c r="H139" i="35"/>
  <c r="K139" i="35" s="1"/>
  <c r="H138" i="35"/>
  <c r="K138" i="35" s="1"/>
  <c r="H130" i="35"/>
  <c r="K130" i="35" s="1"/>
  <c r="H129" i="35"/>
  <c r="K129" i="35" s="1"/>
  <c r="H128" i="35"/>
  <c r="K128" i="35" s="1"/>
  <c r="H127" i="35"/>
  <c r="K127" i="35" s="1"/>
  <c r="H126" i="35"/>
  <c r="K126" i="35" s="1"/>
  <c r="H125" i="35"/>
  <c r="K125" i="35" s="1"/>
  <c r="H124" i="35"/>
  <c r="K124" i="35" s="1"/>
  <c r="H123" i="35"/>
  <c r="K123" i="35" s="1"/>
  <c r="H122" i="35"/>
  <c r="K122" i="35" s="1"/>
  <c r="H121" i="35"/>
  <c r="K121" i="35" s="1"/>
  <c r="H120" i="35"/>
  <c r="K120" i="35" s="1"/>
  <c r="H119" i="35"/>
  <c r="K119" i="35" s="1"/>
  <c r="H118" i="35"/>
  <c r="K118" i="35" s="1"/>
  <c r="H117" i="35"/>
  <c r="K117" i="35" s="1"/>
  <c r="H116" i="35"/>
  <c r="K116" i="35" s="1"/>
  <c r="H115" i="35"/>
  <c r="K115" i="35" s="1"/>
  <c r="H114" i="35"/>
  <c r="K114" i="35" s="1"/>
  <c r="H113" i="35"/>
  <c r="K113" i="35" s="1"/>
  <c r="H112" i="35"/>
  <c r="K112" i="35" s="1"/>
  <c r="H111" i="35"/>
  <c r="K111" i="35" s="1"/>
  <c r="H110" i="35"/>
  <c r="K110" i="35" s="1"/>
  <c r="H109" i="35"/>
  <c r="K109" i="35" s="1"/>
  <c r="K105" i="35"/>
  <c r="H105" i="35"/>
  <c r="K104" i="35"/>
  <c r="H104" i="35"/>
  <c r="K103" i="35"/>
  <c r="H103" i="35"/>
  <c r="K102" i="35"/>
  <c r="H102" i="35"/>
  <c r="K101" i="35"/>
  <c r="H101" i="35"/>
  <c r="H100" i="35"/>
  <c r="K100" i="35" s="1"/>
  <c r="K99" i="35"/>
  <c r="H99" i="35"/>
  <c r="K98" i="35"/>
  <c r="H98" i="35"/>
  <c r="K97" i="35"/>
  <c r="H97" i="35"/>
  <c r="K96" i="35"/>
  <c r="H96" i="35"/>
  <c r="K95" i="35"/>
  <c r="H95" i="35"/>
  <c r="K94" i="35"/>
  <c r="K93" i="35"/>
  <c r="K92" i="35"/>
  <c r="H91" i="35"/>
  <c r="K91" i="35" s="1"/>
  <c r="H90" i="35"/>
  <c r="K90" i="35" s="1"/>
  <c r="H89" i="35"/>
  <c r="K89" i="35" s="1"/>
  <c r="H88" i="35"/>
  <c r="K88" i="35" s="1"/>
  <c r="H87" i="35"/>
  <c r="K87" i="35" s="1"/>
  <c r="K86" i="35"/>
  <c r="H86" i="35"/>
  <c r="H85" i="35"/>
  <c r="K85" i="35" s="1"/>
  <c r="H84" i="35"/>
  <c r="K84" i="35" s="1"/>
  <c r="H83" i="35"/>
  <c r="K83" i="35" s="1"/>
  <c r="H82" i="35"/>
  <c r="K82" i="35" s="1"/>
  <c r="H81" i="35"/>
  <c r="K81" i="35" s="1"/>
  <c r="K80" i="35"/>
  <c r="H80" i="35"/>
  <c r="H79" i="35"/>
  <c r="K79" i="35" s="1"/>
  <c r="H78" i="35"/>
  <c r="K78" i="35" s="1"/>
  <c r="K77" i="35"/>
  <c r="K76" i="35"/>
  <c r="H76" i="35"/>
  <c r="K75" i="35"/>
  <c r="H75" i="35"/>
  <c r="H74" i="35"/>
  <c r="K74" i="35" s="1"/>
  <c r="K73" i="35"/>
  <c r="H73" i="35"/>
  <c r="K72" i="35"/>
  <c r="H72" i="35"/>
  <c r="J70" i="35"/>
  <c r="J136" i="35" s="1"/>
  <c r="H67" i="35"/>
  <c r="K67" i="35" s="1"/>
  <c r="H66" i="35"/>
  <c r="K66" i="35" s="1"/>
  <c r="H65" i="35"/>
  <c r="K65" i="35" s="1"/>
  <c r="H64" i="35"/>
  <c r="K64" i="35" s="1"/>
  <c r="H63" i="35"/>
  <c r="K63" i="35" s="1"/>
  <c r="H62" i="35"/>
  <c r="K62" i="35" s="1"/>
  <c r="H61" i="35"/>
  <c r="K61" i="35" s="1"/>
  <c r="H60" i="35"/>
  <c r="K60" i="35" s="1"/>
  <c r="H59" i="35"/>
  <c r="K59" i="35" s="1"/>
  <c r="H58" i="35"/>
  <c r="K58" i="35" s="1"/>
  <c r="H57" i="35"/>
  <c r="K57" i="35" s="1"/>
  <c r="H56" i="35"/>
  <c r="K56" i="35" s="1"/>
  <c r="H55" i="35"/>
  <c r="K55" i="35" s="1"/>
  <c r="H54" i="35"/>
  <c r="K54" i="35" s="1"/>
  <c r="H53" i="35"/>
  <c r="K53" i="35" s="1"/>
  <c r="H52" i="35"/>
  <c r="K52" i="35" s="1"/>
  <c r="H51" i="35"/>
  <c r="K51" i="35" s="1"/>
  <c r="H50" i="35"/>
  <c r="K50" i="35" s="1"/>
  <c r="H49" i="35"/>
  <c r="K49" i="35" s="1"/>
  <c r="H48" i="35"/>
  <c r="K48" i="35" s="1"/>
  <c r="H47" i="35"/>
  <c r="K47" i="35" s="1"/>
  <c r="H46" i="35"/>
  <c r="K46" i="35" s="1"/>
  <c r="H45" i="35"/>
  <c r="K45" i="35" s="1"/>
  <c r="H44" i="35"/>
  <c r="K44" i="35" s="1"/>
  <c r="H43" i="35"/>
  <c r="K43" i="35" s="1"/>
  <c r="H42" i="35"/>
  <c r="K42" i="35" s="1"/>
  <c r="H41" i="35"/>
  <c r="K41" i="35" s="1"/>
  <c r="H40" i="35"/>
  <c r="K40" i="35" s="1"/>
  <c r="H39" i="35"/>
  <c r="K39" i="35" s="1"/>
  <c r="H38" i="35"/>
  <c r="K38" i="35" s="1"/>
  <c r="H37" i="35"/>
  <c r="K37" i="35" s="1"/>
  <c r="H36" i="35"/>
  <c r="K36" i="35" s="1"/>
  <c r="H35" i="35"/>
  <c r="K35" i="35" s="1"/>
  <c r="H34" i="35"/>
  <c r="K34" i="35" s="1"/>
  <c r="H33" i="35"/>
  <c r="K33" i="35" s="1"/>
  <c r="H32" i="35"/>
  <c r="K32" i="35" s="1"/>
  <c r="H31" i="35"/>
  <c r="K31" i="35" s="1"/>
  <c r="H30" i="35"/>
  <c r="K30" i="35" s="1"/>
  <c r="H29" i="35"/>
  <c r="K29" i="35" s="1"/>
  <c r="H28" i="35"/>
  <c r="K28" i="35" s="1"/>
  <c r="H27" i="35"/>
  <c r="K27" i="35" s="1"/>
  <c r="H26" i="35"/>
  <c r="K26" i="35" s="1"/>
  <c r="H25" i="35"/>
  <c r="K25" i="35" s="1"/>
  <c r="H24" i="35"/>
  <c r="K24" i="35" s="1"/>
  <c r="H23" i="35"/>
  <c r="K23" i="35" s="1"/>
  <c r="H22" i="35"/>
  <c r="K22" i="35" s="1"/>
  <c r="H21" i="35"/>
  <c r="K21" i="35" s="1"/>
  <c r="H20" i="35"/>
  <c r="K20" i="35" s="1"/>
  <c r="H19" i="35"/>
  <c r="K19" i="35" s="1"/>
  <c r="H18" i="35"/>
  <c r="K18" i="35" s="1"/>
  <c r="H17" i="35"/>
  <c r="K17" i="35" s="1"/>
  <c r="H16" i="35"/>
  <c r="K16" i="35" s="1"/>
  <c r="H15" i="35"/>
  <c r="K15" i="35" s="1"/>
  <c r="H14" i="35"/>
  <c r="K14" i="35" s="1"/>
  <c r="H13" i="35"/>
  <c r="K13" i="35" s="1"/>
  <c r="H12" i="35"/>
  <c r="K12" i="35" s="1"/>
  <c r="H11" i="35"/>
  <c r="K11" i="35" s="1"/>
  <c r="H10" i="35"/>
  <c r="K10" i="35" s="1"/>
  <c r="H9" i="35"/>
  <c r="K9" i="35" s="1"/>
  <c r="H8" i="35"/>
  <c r="K8" i="35" s="1"/>
  <c r="H7" i="35"/>
  <c r="K7" i="35" s="1"/>
  <c r="H6" i="35"/>
  <c r="K6" i="35" s="1"/>
  <c r="H167" i="34"/>
  <c r="K167" i="34" s="1"/>
  <c r="K165" i="34"/>
  <c r="H165" i="34"/>
  <c r="K164" i="34"/>
  <c r="H164" i="34"/>
  <c r="H163" i="34"/>
  <c r="K163" i="34" s="1"/>
  <c r="K162" i="34"/>
  <c r="H162" i="34"/>
  <c r="K161" i="34"/>
  <c r="H161" i="34"/>
  <c r="K159" i="34"/>
  <c r="H159" i="34"/>
  <c r="K158" i="34"/>
  <c r="H158" i="34"/>
  <c r="K157" i="34"/>
  <c r="H157" i="34"/>
  <c r="H156" i="34"/>
  <c r="K156" i="34" s="1"/>
  <c r="K155" i="34"/>
  <c r="H155" i="34"/>
  <c r="K154" i="34"/>
  <c r="H154" i="34"/>
  <c r="K153" i="34"/>
  <c r="H153" i="34"/>
  <c r="K152" i="34"/>
  <c r="H152" i="34"/>
  <c r="K151" i="34"/>
  <c r="H151" i="34"/>
  <c r="H150" i="34"/>
  <c r="K150" i="34" s="1"/>
  <c r="K149" i="34"/>
  <c r="H149" i="34"/>
  <c r="K148" i="34"/>
  <c r="H148" i="34"/>
  <c r="K147" i="34"/>
  <c r="H147" i="34"/>
  <c r="K146" i="34"/>
  <c r="H146" i="34"/>
  <c r="K145" i="34"/>
  <c r="H145" i="34"/>
  <c r="H144" i="34"/>
  <c r="K144" i="34" s="1"/>
  <c r="K143" i="34"/>
  <c r="H143" i="34"/>
  <c r="K142" i="34"/>
  <c r="H142" i="34"/>
  <c r="K141" i="34"/>
  <c r="H141" i="34"/>
  <c r="K140" i="34"/>
  <c r="H139" i="34"/>
  <c r="K139" i="34" s="1"/>
  <c r="H138" i="34"/>
  <c r="K138" i="34" s="1"/>
  <c r="K130" i="34"/>
  <c r="H130" i="34"/>
  <c r="K129" i="34"/>
  <c r="H129" i="34"/>
  <c r="H128" i="34"/>
  <c r="K128" i="34" s="1"/>
  <c r="H127" i="34"/>
  <c r="K127" i="34" s="1"/>
  <c r="H126" i="34"/>
  <c r="K126" i="34" s="1"/>
  <c r="H125" i="34"/>
  <c r="K125" i="34" s="1"/>
  <c r="K124" i="34"/>
  <c r="H124" i="34"/>
  <c r="K123" i="34"/>
  <c r="H123" i="34"/>
  <c r="H122" i="34"/>
  <c r="K122" i="34" s="1"/>
  <c r="H121" i="34"/>
  <c r="K121" i="34" s="1"/>
  <c r="H120" i="34"/>
  <c r="K120" i="34" s="1"/>
  <c r="H119" i="34"/>
  <c r="K119" i="34" s="1"/>
  <c r="K118" i="34"/>
  <c r="H118" i="34"/>
  <c r="K117" i="34"/>
  <c r="H117" i="34"/>
  <c r="H116" i="34"/>
  <c r="K116" i="34" s="1"/>
  <c r="H115" i="34"/>
  <c r="K115" i="34" s="1"/>
  <c r="H114" i="34"/>
  <c r="K114" i="34" s="1"/>
  <c r="H113" i="34"/>
  <c r="K113" i="34" s="1"/>
  <c r="K112" i="34"/>
  <c r="H112" i="34"/>
  <c r="K111" i="34"/>
  <c r="H111" i="34"/>
  <c r="H110" i="34"/>
  <c r="K110" i="34" s="1"/>
  <c r="H109" i="34"/>
  <c r="K109" i="34" s="1"/>
  <c r="K105" i="34"/>
  <c r="H105" i="34"/>
  <c r="H104" i="34"/>
  <c r="K104" i="34" s="1"/>
  <c r="H103" i="34"/>
  <c r="K103" i="34" s="1"/>
  <c r="K102" i="34"/>
  <c r="H102" i="34"/>
  <c r="H101" i="34"/>
  <c r="K101" i="34" s="1"/>
  <c r="H100" i="34"/>
  <c r="K100" i="34" s="1"/>
  <c r="K99" i="34"/>
  <c r="H99" i="34"/>
  <c r="H98" i="34"/>
  <c r="K98" i="34" s="1"/>
  <c r="H97" i="34"/>
  <c r="K97" i="34" s="1"/>
  <c r="K96" i="34"/>
  <c r="H96" i="34"/>
  <c r="K95" i="34"/>
  <c r="H95" i="34"/>
  <c r="K94" i="34"/>
  <c r="K93" i="34"/>
  <c r="K92" i="34"/>
  <c r="H91" i="34"/>
  <c r="K91" i="34" s="1"/>
  <c r="K90" i="34"/>
  <c r="H90" i="34"/>
  <c r="K89" i="34"/>
  <c r="H89" i="34"/>
  <c r="H88" i="34"/>
  <c r="K88" i="34" s="1"/>
  <c r="H87" i="34"/>
  <c r="K87" i="34" s="1"/>
  <c r="K86" i="34"/>
  <c r="H86" i="34"/>
  <c r="H85" i="34"/>
  <c r="K85" i="34" s="1"/>
  <c r="K84" i="34"/>
  <c r="H84" i="34"/>
  <c r="K83" i="34"/>
  <c r="H83" i="34"/>
  <c r="H82" i="34"/>
  <c r="K82" i="34" s="1"/>
  <c r="H81" i="34"/>
  <c r="K81" i="34" s="1"/>
  <c r="K80" i="34"/>
  <c r="H80" i="34"/>
  <c r="H79" i="34"/>
  <c r="K79" i="34" s="1"/>
  <c r="K78" i="34"/>
  <c r="H78" i="34"/>
  <c r="K77" i="34"/>
  <c r="K76" i="34"/>
  <c r="H76" i="34"/>
  <c r="K75" i="34"/>
  <c r="H75" i="34"/>
  <c r="H74" i="34"/>
  <c r="K74" i="34" s="1"/>
  <c r="K73" i="34"/>
  <c r="H73" i="34"/>
  <c r="H72" i="34"/>
  <c r="K72" i="34" s="1"/>
  <c r="J70" i="34"/>
  <c r="J136" i="34" s="1"/>
  <c r="K67" i="34"/>
  <c r="H67" i="34"/>
  <c r="H66" i="34"/>
  <c r="K66" i="34" s="1"/>
  <c r="H65" i="34"/>
  <c r="K65" i="34" s="1"/>
  <c r="H64" i="34"/>
  <c r="K64" i="34" s="1"/>
  <c r="H63" i="34"/>
  <c r="K63" i="34" s="1"/>
  <c r="K62" i="34"/>
  <c r="H62" i="34"/>
  <c r="K61" i="34"/>
  <c r="H61" i="34"/>
  <c r="H60" i="34"/>
  <c r="K60" i="34" s="1"/>
  <c r="H59" i="34"/>
  <c r="K59" i="34" s="1"/>
  <c r="H58" i="34"/>
  <c r="K58" i="34" s="1"/>
  <c r="H57" i="34"/>
  <c r="K57" i="34" s="1"/>
  <c r="K56" i="34"/>
  <c r="H56" i="34"/>
  <c r="K55" i="34"/>
  <c r="H55" i="34"/>
  <c r="H54" i="34"/>
  <c r="K54" i="34" s="1"/>
  <c r="H53" i="34"/>
  <c r="K53" i="34" s="1"/>
  <c r="H52" i="34"/>
  <c r="K52" i="34" s="1"/>
  <c r="H51" i="34"/>
  <c r="K51" i="34" s="1"/>
  <c r="K50" i="34"/>
  <c r="H50" i="34"/>
  <c r="K49" i="34"/>
  <c r="H49" i="34"/>
  <c r="H48" i="34"/>
  <c r="K48" i="34" s="1"/>
  <c r="H47" i="34"/>
  <c r="K47" i="34" s="1"/>
  <c r="H46" i="34"/>
  <c r="K46" i="34" s="1"/>
  <c r="H45" i="34"/>
  <c r="K45" i="34" s="1"/>
  <c r="K44" i="34"/>
  <c r="H44" i="34"/>
  <c r="K43" i="34"/>
  <c r="H43" i="34"/>
  <c r="H42" i="34"/>
  <c r="K42" i="34" s="1"/>
  <c r="H41" i="34"/>
  <c r="K41" i="34" s="1"/>
  <c r="H40" i="34"/>
  <c r="K40" i="34" s="1"/>
  <c r="H39" i="34"/>
  <c r="K39" i="34" s="1"/>
  <c r="K38" i="34"/>
  <c r="H38" i="34"/>
  <c r="K37" i="34"/>
  <c r="H37" i="34"/>
  <c r="H36" i="34"/>
  <c r="K36" i="34" s="1"/>
  <c r="H35" i="34"/>
  <c r="K35" i="34" s="1"/>
  <c r="H34" i="34"/>
  <c r="K34" i="34" s="1"/>
  <c r="H33" i="34"/>
  <c r="K33" i="34" s="1"/>
  <c r="K32" i="34"/>
  <c r="H32" i="34"/>
  <c r="K31" i="34"/>
  <c r="H31" i="34"/>
  <c r="H30" i="34"/>
  <c r="K30" i="34" s="1"/>
  <c r="H29" i="34"/>
  <c r="K29" i="34" s="1"/>
  <c r="H28" i="34"/>
  <c r="K28" i="34" s="1"/>
  <c r="H27" i="34"/>
  <c r="K27" i="34" s="1"/>
  <c r="K26" i="34"/>
  <c r="H26" i="34"/>
  <c r="K25" i="34"/>
  <c r="H25" i="34"/>
  <c r="H24" i="34"/>
  <c r="K24" i="34" s="1"/>
  <c r="H23" i="34"/>
  <c r="K23" i="34" s="1"/>
  <c r="H22" i="34"/>
  <c r="K22" i="34" s="1"/>
  <c r="H21" i="34"/>
  <c r="K21" i="34" s="1"/>
  <c r="K20" i="34"/>
  <c r="H20" i="34"/>
  <c r="K19" i="34"/>
  <c r="H19" i="34"/>
  <c r="H18" i="34"/>
  <c r="K18" i="34" s="1"/>
  <c r="H17" i="34"/>
  <c r="K17" i="34" s="1"/>
  <c r="H16" i="34"/>
  <c r="K16" i="34" s="1"/>
  <c r="H15" i="34"/>
  <c r="K15" i="34" s="1"/>
  <c r="K14" i="34"/>
  <c r="H14" i="34"/>
  <c r="K13" i="34"/>
  <c r="H13" i="34"/>
  <c r="H12" i="34"/>
  <c r="K12" i="34" s="1"/>
  <c r="H11" i="34"/>
  <c r="K11" i="34" s="1"/>
  <c r="H10" i="34"/>
  <c r="K10" i="34" s="1"/>
  <c r="H9" i="34"/>
  <c r="K9" i="34" s="1"/>
  <c r="K8" i="34"/>
  <c r="H8" i="34"/>
  <c r="K7" i="34"/>
  <c r="H7" i="34"/>
  <c r="H6" i="34"/>
  <c r="K6" i="34" s="1"/>
  <c r="H167" i="33"/>
  <c r="K167" i="33" s="1"/>
  <c r="H165" i="33"/>
  <c r="K165" i="33" s="1"/>
  <c r="H164" i="33"/>
  <c r="K164" i="33" s="1"/>
  <c r="H163" i="33"/>
  <c r="K163" i="33" s="1"/>
  <c r="K162" i="33"/>
  <c r="H162" i="33"/>
  <c r="K161" i="33"/>
  <c r="H161" i="33"/>
  <c r="H159" i="33"/>
  <c r="K159" i="33" s="1"/>
  <c r="H158" i="33"/>
  <c r="K158" i="33" s="1"/>
  <c r="H157" i="33"/>
  <c r="K157" i="33" s="1"/>
  <c r="H156" i="33"/>
  <c r="K156" i="33" s="1"/>
  <c r="K155" i="33"/>
  <c r="H155" i="33"/>
  <c r="K154" i="33"/>
  <c r="H154" i="33"/>
  <c r="H153" i="33"/>
  <c r="K153" i="33" s="1"/>
  <c r="H152" i="33"/>
  <c r="K152" i="33" s="1"/>
  <c r="H151" i="33"/>
  <c r="K151" i="33" s="1"/>
  <c r="H150" i="33"/>
  <c r="K150" i="33" s="1"/>
  <c r="K149" i="33"/>
  <c r="H149" i="33"/>
  <c r="K148" i="33"/>
  <c r="H148" i="33"/>
  <c r="H147" i="33"/>
  <c r="K147" i="33" s="1"/>
  <c r="H146" i="33"/>
  <c r="K146" i="33" s="1"/>
  <c r="H145" i="33"/>
  <c r="K145" i="33" s="1"/>
  <c r="H144" i="33"/>
  <c r="K144" i="33" s="1"/>
  <c r="K143" i="33"/>
  <c r="H143" i="33"/>
  <c r="K142" i="33"/>
  <c r="H142" i="33"/>
  <c r="H141" i="33"/>
  <c r="K141" i="33" s="1"/>
  <c r="K140" i="33"/>
  <c r="H139" i="33"/>
  <c r="K139" i="33" s="1"/>
  <c r="K138" i="33"/>
  <c r="H138" i="33"/>
  <c r="J136" i="33"/>
  <c r="K130" i="33"/>
  <c r="H130" i="33"/>
  <c r="K129" i="33"/>
  <c r="H129" i="33"/>
  <c r="H128" i="33"/>
  <c r="K128" i="33" s="1"/>
  <c r="H127" i="33"/>
  <c r="K127" i="33" s="1"/>
  <c r="H126" i="33"/>
  <c r="K126" i="33" s="1"/>
  <c r="H125" i="33"/>
  <c r="K125" i="33" s="1"/>
  <c r="K124" i="33"/>
  <c r="H124" i="33"/>
  <c r="K123" i="33"/>
  <c r="H123" i="33"/>
  <c r="H122" i="33"/>
  <c r="K122" i="33" s="1"/>
  <c r="H121" i="33"/>
  <c r="K121" i="33" s="1"/>
  <c r="H120" i="33"/>
  <c r="K120" i="33" s="1"/>
  <c r="H119" i="33"/>
  <c r="K119" i="33" s="1"/>
  <c r="K118" i="33"/>
  <c r="H118" i="33"/>
  <c r="K117" i="33"/>
  <c r="H117" i="33"/>
  <c r="H116" i="33"/>
  <c r="K116" i="33" s="1"/>
  <c r="H115" i="33"/>
  <c r="K115" i="33" s="1"/>
  <c r="H114" i="33"/>
  <c r="K114" i="33" s="1"/>
  <c r="H113" i="33"/>
  <c r="K113" i="33" s="1"/>
  <c r="K112" i="33"/>
  <c r="H112" i="33"/>
  <c r="K111" i="33"/>
  <c r="H111" i="33"/>
  <c r="H110" i="33"/>
  <c r="K110" i="33" s="1"/>
  <c r="H109" i="33"/>
  <c r="K109" i="33" s="1"/>
  <c r="K105" i="33"/>
  <c r="H105" i="33"/>
  <c r="K104" i="33"/>
  <c r="H104" i="33"/>
  <c r="H103" i="33"/>
  <c r="K103" i="33" s="1"/>
  <c r="K102" i="33"/>
  <c r="H102" i="33"/>
  <c r="H101" i="33"/>
  <c r="K101" i="33" s="1"/>
  <c r="H100" i="33"/>
  <c r="K100" i="33" s="1"/>
  <c r="K99" i="33"/>
  <c r="H99" i="33"/>
  <c r="K98" i="33"/>
  <c r="H98" i="33"/>
  <c r="H97" i="33"/>
  <c r="K97" i="33" s="1"/>
  <c r="K96" i="33"/>
  <c r="H96" i="33"/>
  <c r="H95" i="33"/>
  <c r="K95" i="33" s="1"/>
  <c r="K94" i="33"/>
  <c r="K93" i="33"/>
  <c r="K92" i="33"/>
  <c r="H91" i="33"/>
  <c r="K91" i="33" s="1"/>
  <c r="K90" i="33"/>
  <c r="H90" i="33"/>
  <c r="H89" i="33"/>
  <c r="K89" i="33" s="1"/>
  <c r="H88" i="33"/>
  <c r="K88" i="33" s="1"/>
  <c r="H87" i="33"/>
  <c r="K87" i="33" s="1"/>
  <c r="H86" i="33"/>
  <c r="K86" i="33" s="1"/>
  <c r="H85" i="33"/>
  <c r="K85" i="33" s="1"/>
  <c r="K84" i="33"/>
  <c r="H84" i="33"/>
  <c r="H83" i="33"/>
  <c r="K83" i="33" s="1"/>
  <c r="K82" i="33"/>
  <c r="H82" i="33"/>
  <c r="H81" i="33"/>
  <c r="K81" i="33" s="1"/>
  <c r="H80" i="33"/>
  <c r="K80" i="33" s="1"/>
  <c r="H79" i="33"/>
  <c r="K79" i="33" s="1"/>
  <c r="K78" i="33"/>
  <c r="H78" i="33"/>
  <c r="K77" i="33"/>
  <c r="K76" i="33"/>
  <c r="H76" i="33"/>
  <c r="K75" i="33"/>
  <c r="H75" i="33"/>
  <c r="H74" i="33"/>
  <c r="K74" i="33" s="1"/>
  <c r="K73" i="33"/>
  <c r="H73" i="33"/>
  <c r="K72" i="33"/>
  <c r="H72" i="33"/>
  <c r="J70" i="33"/>
  <c r="H67" i="33"/>
  <c r="K67" i="33" s="1"/>
  <c r="K66" i="33"/>
  <c r="H66" i="33"/>
  <c r="H65" i="33"/>
  <c r="K65" i="33" s="1"/>
  <c r="H64" i="33"/>
  <c r="K64" i="33" s="1"/>
  <c r="H63" i="33"/>
  <c r="K63" i="33" s="1"/>
  <c r="K62" i="33"/>
  <c r="H62" i="33"/>
  <c r="H61" i="33"/>
  <c r="K61" i="33" s="1"/>
  <c r="H60" i="33"/>
  <c r="K60" i="33" s="1"/>
  <c r="H59" i="33"/>
  <c r="K59" i="33" s="1"/>
  <c r="H58" i="33"/>
  <c r="K58" i="33" s="1"/>
  <c r="H57" i="33"/>
  <c r="K57" i="33" s="1"/>
  <c r="K56" i="33"/>
  <c r="H56" i="33"/>
  <c r="H55" i="33"/>
  <c r="K55" i="33" s="1"/>
  <c r="H54" i="33"/>
  <c r="K54" i="33" s="1"/>
  <c r="H53" i="33"/>
  <c r="K53" i="33" s="1"/>
  <c r="H52" i="33"/>
  <c r="K52" i="33" s="1"/>
  <c r="H51" i="33"/>
  <c r="K51" i="33" s="1"/>
  <c r="K50" i="33"/>
  <c r="H50" i="33"/>
  <c r="H49" i="33"/>
  <c r="K49" i="33" s="1"/>
  <c r="H48" i="33"/>
  <c r="K48" i="33" s="1"/>
  <c r="H47" i="33"/>
  <c r="K47" i="33" s="1"/>
  <c r="H46" i="33"/>
  <c r="K46" i="33" s="1"/>
  <c r="H45" i="33"/>
  <c r="K45" i="33" s="1"/>
  <c r="K44" i="33"/>
  <c r="H44" i="33"/>
  <c r="H43" i="33"/>
  <c r="K43" i="33" s="1"/>
  <c r="H42" i="33"/>
  <c r="K42" i="33" s="1"/>
  <c r="H41" i="33"/>
  <c r="K41" i="33" s="1"/>
  <c r="H40" i="33"/>
  <c r="K40" i="33" s="1"/>
  <c r="H39" i="33"/>
  <c r="K39" i="33" s="1"/>
  <c r="K38" i="33"/>
  <c r="H38" i="33"/>
  <c r="H37" i="33"/>
  <c r="K37" i="33" s="1"/>
  <c r="H36" i="33"/>
  <c r="K36" i="33" s="1"/>
  <c r="H35" i="33"/>
  <c r="K35" i="33" s="1"/>
  <c r="H34" i="33"/>
  <c r="K34" i="33" s="1"/>
  <c r="H33" i="33"/>
  <c r="K33" i="33" s="1"/>
  <c r="K32" i="33"/>
  <c r="H32" i="33"/>
  <c r="H31" i="33"/>
  <c r="K31" i="33" s="1"/>
  <c r="H30" i="33"/>
  <c r="K30" i="33" s="1"/>
  <c r="H29" i="33"/>
  <c r="K29" i="33" s="1"/>
  <c r="H28" i="33"/>
  <c r="K28" i="33" s="1"/>
  <c r="H27" i="33"/>
  <c r="K27" i="33" s="1"/>
  <c r="K26" i="33"/>
  <c r="H26" i="33"/>
  <c r="H25" i="33"/>
  <c r="K25" i="33" s="1"/>
  <c r="H24" i="33"/>
  <c r="K24" i="33" s="1"/>
  <c r="H23" i="33"/>
  <c r="K23" i="33" s="1"/>
  <c r="H22" i="33"/>
  <c r="K22" i="33" s="1"/>
  <c r="H21" i="33"/>
  <c r="K21" i="33" s="1"/>
  <c r="K20" i="33"/>
  <c r="H20" i="33"/>
  <c r="H19" i="33"/>
  <c r="K19" i="33" s="1"/>
  <c r="H18" i="33"/>
  <c r="K18" i="33" s="1"/>
  <c r="H17" i="33"/>
  <c r="K17" i="33" s="1"/>
  <c r="H16" i="33"/>
  <c r="K16" i="33" s="1"/>
  <c r="H15" i="33"/>
  <c r="K15" i="33" s="1"/>
  <c r="K14" i="33"/>
  <c r="H14" i="33"/>
  <c r="H13" i="33"/>
  <c r="K13" i="33" s="1"/>
  <c r="H12" i="33"/>
  <c r="K12" i="33" s="1"/>
  <c r="H11" i="33"/>
  <c r="K11" i="33" s="1"/>
  <c r="H10" i="33"/>
  <c r="K10" i="33" s="1"/>
  <c r="H9" i="33"/>
  <c r="K9" i="33" s="1"/>
  <c r="K8" i="33"/>
  <c r="H8" i="33"/>
  <c r="H7" i="33"/>
  <c r="K7" i="33" s="1"/>
  <c r="H6" i="33"/>
  <c r="K6" i="33" s="1"/>
  <c r="H167" i="32"/>
  <c r="K167" i="32" s="1"/>
  <c r="H165" i="32"/>
  <c r="K165" i="32" s="1"/>
  <c r="H164" i="32"/>
  <c r="K164" i="32" s="1"/>
  <c r="H163" i="32"/>
  <c r="K163" i="32" s="1"/>
  <c r="H162" i="32"/>
  <c r="K162" i="32" s="1"/>
  <c r="K161" i="32"/>
  <c r="H161" i="32"/>
  <c r="H159" i="32"/>
  <c r="K159" i="32" s="1"/>
  <c r="H158" i="32"/>
  <c r="K158" i="32" s="1"/>
  <c r="H157" i="32"/>
  <c r="K157" i="32" s="1"/>
  <c r="H156" i="32"/>
  <c r="K156" i="32" s="1"/>
  <c r="H155" i="32"/>
  <c r="K155" i="32" s="1"/>
  <c r="K154" i="32"/>
  <c r="H154" i="32"/>
  <c r="H153" i="32"/>
  <c r="K153" i="32" s="1"/>
  <c r="H152" i="32"/>
  <c r="K152" i="32" s="1"/>
  <c r="H151" i="32"/>
  <c r="K151" i="32" s="1"/>
  <c r="H150" i="32"/>
  <c r="K150" i="32" s="1"/>
  <c r="H149" i="32"/>
  <c r="K149" i="32" s="1"/>
  <c r="K148" i="32"/>
  <c r="H148" i="32"/>
  <c r="H147" i="32"/>
  <c r="K147" i="32" s="1"/>
  <c r="H146" i="32"/>
  <c r="K146" i="32" s="1"/>
  <c r="H145" i="32"/>
  <c r="K145" i="32" s="1"/>
  <c r="H144" i="32"/>
  <c r="K144" i="32" s="1"/>
  <c r="H143" i="32"/>
  <c r="K143" i="32" s="1"/>
  <c r="K142" i="32"/>
  <c r="H142" i="32"/>
  <c r="H141" i="32"/>
  <c r="K141" i="32" s="1"/>
  <c r="K140" i="32"/>
  <c r="K139" i="32"/>
  <c r="H139" i="32"/>
  <c r="H138" i="32"/>
  <c r="K138" i="32" s="1"/>
  <c r="H130" i="32"/>
  <c r="K130" i="32" s="1"/>
  <c r="K129" i="32"/>
  <c r="H129" i="32"/>
  <c r="H128" i="32"/>
  <c r="K128" i="32" s="1"/>
  <c r="H127" i="32"/>
  <c r="K127" i="32" s="1"/>
  <c r="H126" i="32"/>
  <c r="K126" i="32" s="1"/>
  <c r="H125" i="32"/>
  <c r="K125" i="32" s="1"/>
  <c r="H124" i="32"/>
  <c r="K124" i="32" s="1"/>
  <c r="K123" i="32"/>
  <c r="H123" i="32"/>
  <c r="H122" i="32"/>
  <c r="K122" i="32" s="1"/>
  <c r="H121" i="32"/>
  <c r="K121" i="32" s="1"/>
  <c r="H120" i="32"/>
  <c r="K120" i="32" s="1"/>
  <c r="H119" i="32"/>
  <c r="K119" i="32" s="1"/>
  <c r="H118" i="32"/>
  <c r="K118" i="32" s="1"/>
  <c r="K117" i="32"/>
  <c r="H117" i="32"/>
  <c r="H116" i="32"/>
  <c r="K116" i="32" s="1"/>
  <c r="H115" i="32"/>
  <c r="K115" i="32" s="1"/>
  <c r="H114" i="32"/>
  <c r="K114" i="32" s="1"/>
  <c r="H113" i="32"/>
  <c r="K113" i="32" s="1"/>
  <c r="H112" i="32"/>
  <c r="K112" i="32" s="1"/>
  <c r="K111" i="32"/>
  <c r="H111" i="32"/>
  <c r="H110" i="32"/>
  <c r="K110" i="32" s="1"/>
  <c r="H109" i="32"/>
  <c r="K109" i="32" s="1"/>
  <c r="H105" i="32"/>
  <c r="K105" i="32" s="1"/>
  <c r="H104" i="32"/>
  <c r="K104" i="32" s="1"/>
  <c r="K103" i="32"/>
  <c r="H103" i="32"/>
  <c r="H102" i="32"/>
  <c r="K102" i="32" s="1"/>
  <c r="H101" i="32"/>
  <c r="K101" i="32" s="1"/>
  <c r="K100" i="32"/>
  <c r="H100" i="32"/>
  <c r="H99" i="32"/>
  <c r="K99" i="32" s="1"/>
  <c r="H98" i="32"/>
  <c r="K98" i="32" s="1"/>
  <c r="K97" i="32"/>
  <c r="H97" i="32"/>
  <c r="H96" i="32"/>
  <c r="K96" i="32" s="1"/>
  <c r="H95" i="32"/>
  <c r="K95" i="32" s="1"/>
  <c r="K94" i="32"/>
  <c r="K93" i="32"/>
  <c r="K92" i="32"/>
  <c r="H91" i="32"/>
  <c r="K91" i="32" s="1"/>
  <c r="H90" i="32"/>
  <c r="K90" i="32" s="1"/>
  <c r="K89" i="32"/>
  <c r="H89" i="32"/>
  <c r="H88" i="32"/>
  <c r="K88" i="32" s="1"/>
  <c r="H87" i="32"/>
  <c r="K87" i="32" s="1"/>
  <c r="H86" i="32"/>
  <c r="K86" i="32" s="1"/>
  <c r="H85" i="32"/>
  <c r="K85" i="32" s="1"/>
  <c r="H84" i="32"/>
  <c r="K84" i="32" s="1"/>
  <c r="K83" i="32"/>
  <c r="H83" i="32"/>
  <c r="H82" i="32"/>
  <c r="K82" i="32" s="1"/>
  <c r="H81" i="32"/>
  <c r="K81" i="32" s="1"/>
  <c r="H80" i="32"/>
  <c r="K80" i="32" s="1"/>
  <c r="H79" i="32"/>
  <c r="K79" i="32" s="1"/>
  <c r="H78" i="32"/>
  <c r="K78" i="32" s="1"/>
  <c r="K77" i="32"/>
  <c r="H76" i="32"/>
  <c r="K76" i="32" s="1"/>
  <c r="H75" i="32"/>
  <c r="K75" i="32" s="1"/>
  <c r="K74" i="32"/>
  <c r="H74" i="32"/>
  <c r="H73" i="32"/>
  <c r="K73" i="32" s="1"/>
  <c r="H72" i="32"/>
  <c r="K72" i="32" s="1"/>
  <c r="J70" i="32"/>
  <c r="J136" i="32" s="1"/>
  <c r="K67" i="32"/>
  <c r="H67" i="32"/>
  <c r="H66" i="32"/>
  <c r="K66" i="32" s="1"/>
  <c r="H65" i="32"/>
  <c r="K65" i="32" s="1"/>
  <c r="H64" i="32"/>
  <c r="K64" i="32" s="1"/>
  <c r="H63" i="32"/>
  <c r="K63" i="32" s="1"/>
  <c r="H62" i="32"/>
  <c r="K62" i="32" s="1"/>
  <c r="K61" i="32"/>
  <c r="H61" i="32"/>
  <c r="H60" i="32"/>
  <c r="K60" i="32" s="1"/>
  <c r="H59" i="32"/>
  <c r="K59" i="32" s="1"/>
  <c r="H58" i="32"/>
  <c r="K58" i="32" s="1"/>
  <c r="H57" i="32"/>
  <c r="K57" i="32" s="1"/>
  <c r="H56" i="32"/>
  <c r="K56" i="32" s="1"/>
  <c r="K55" i="32"/>
  <c r="H55" i="32"/>
  <c r="H54" i="32"/>
  <c r="K54" i="32" s="1"/>
  <c r="H53" i="32"/>
  <c r="K53" i="32" s="1"/>
  <c r="H52" i="32"/>
  <c r="K52" i="32" s="1"/>
  <c r="H51" i="32"/>
  <c r="K51" i="32" s="1"/>
  <c r="H50" i="32"/>
  <c r="K50" i="32" s="1"/>
  <c r="K49" i="32"/>
  <c r="H49" i="32"/>
  <c r="H48" i="32"/>
  <c r="K48" i="32" s="1"/>
  <c r="H47" i="32"/>
  <c r="K47" i="32" s="1"/>
  <c r="H46" i="32"/>
  <c r="K46" i="32" s="1"/>
  <c r="H45" i="32"/>
  <c r="K45" i="32" s="1"/>
  <c r="H44" i="32"/>
  <c r="K44" i="32" s="1"/>
  <c r="K43" i="32"/>
  <c r="H43" i="32"/>
  <c r="H42" i="32"/>
  <c r="K42" i="32" s="1"/>
  <c r="H41" i="32"/>
  <c r="K41" i="32" s="1"/>
  <c r="H40" i="32"/>
  <c r="K40" i="32" s="1"/>
  <c r="H39" i="32"/>
  <c r="K39" i="32" s="1"/>
  <c r="H38" i="32"/>
  <c r="K38" i="32" s="1"/>
  <c r="K37" i="32"/>
  <c r="H37" i="32"/>
  <c r="H36" i="32"/>
  <c r="K36" i="32" s="1"/>
  <c r="H35" i="32"/>
  <c r="K35" i="32" s="1"/>
  <c r="H34" i="32"/>
  <c r="K34" i="32" s="1"/>
  <c r="H33" i="32"/>
  <c r="K33" i="32" s="1"/>
  <c r="H32" i="32"/>
  <c r="K32" i="32" s="1"/>
  <c r="K31" i="32"/>
  <c r="H31" i="32"/>
  <c r="H30" i="32"/>
  <c r="K30" i="32" s="1"/>
  <c r="H29" i="32"/>
  <c r="K29" i="32" s="1"/>
  <c r="H28" i="32"/>
  <c r="K28" i="32" s="1"/>
  <c r="H27" i="32"/>
  <c r="K27" i="32" s="1"/>
  <c r="H26" i="32"/>
  <c r="K26" i="32" s="1"/>
  <c r="K25" i="32"/>
  <c r="H25" i="32"/>
  <c r="H24" i="32"/>
  <c r="K24" i="32" s="1"/>
  <c r="H23" i="32"/>
  <c r="K23" i="32" s="1"/>
  <c r="H22" i="32"/>
  <c r="K22" i="32" s="1"/>
  <c r="H21" i="32"/>
  <c r="K21" i="32" s="1"/>
  <c r="H20" i="32"/>
  <c r="K20" i="32" s="1"/>
  <c r="K19" i="32"/>
  <c r="H19" i="32"/>
  <c r="H18" i="32"/>
  <c r="K18" i="32" s="1"/>
  <c r="H17" i="32"/>
  <c r="K17" i="32" s="1"/>
  <c r="H16" i="32"/>
  <c r="K16" i="32" s="1"/>
  <c r="H15" i="32"/>
  <c r="K15" i="32" s="1"/>
  <c r="H14" i="32"/>
  <c r="K14" i="32" s="1"/>
  <c r="K13" i="32"/>
  <c r="H13" i="32"/>
  <c r="H12" i="32"/>
  <c r="K12" i="32" s="1"/>
  <c r="H11" i="32"/>
  <c r="K11" i="32" s="1"/>
  <c r="H10" i="32"/>
  <c r="K10" i="32" s="1"/>
  <c r="H9" i="32"/>
  <c r="K9" i="32" s="1"/>
  <c r="H8" i="32"/>
  <c r="K8" i="32" s="1"/>
  <c r="K7" i="32"/>
  <c r="H7" i="32"/>
  <c r="H6" i="32"/>
  <c r="K6" i="32" s="1"/>
  <c r="H167" i="31"/>
  <c r="K167" i="31" s="1"/>
  <c r="K165" i="31"/>
  <c r="H165" i="31"/>
  <c r="K164" i="31"/>
  <c r="H164" i="31"/>
  <c r="H163" i="31"/>
  <c r="K163" i="31" s="1"/>
  <c r="K162" i="31"/>
  <c r="H162" i="31"/>
  <c r="K161" i="31"/>
  <c r="H161" i="31"/>
  <c r="K159" i="31"/>
  <c r="H159" i="31"/>
  <c r="K158" i="31"/>
  <c r="H158" i="31"/>
  <c r="K157" i="31"/>
  <c r="H157" i="31"/>
  <c r="H156" i="31"/>
  <c r="K156" i="31" s="1"/>
  <c r="K155" i="31"/>
  <c r="H155" i="31"/>
  <c r="K154" i="31"/>
  <c r="H154" i="31"/>
  <c r="K153" i="31"/>
  <c r="H153" i="31"/>
  <c r="K152" i="31"/>
  <c r="H152" i="31"/>
  <c r="K151" i="31"/>
  <c r="H151" i="31"/>
  <c r="H150" i="31"/>
  <c r="K150" i="31" s="1"/>
  <c r="K149" i="31"/>
  <c r="H149" i="31"/>
  <c r="K148" i="31"/>
  <c r="H148" i="31"/>
  <c r="K147" i="31"/>
  <c r="H147" i="31"/>
  <c r="K146" i="31"/>
  <c r="H146" i="31"/>
  <c r="K145" i="31"/>
  <c r="H145" i="31"/>
  <c r="H144" i="31"/>
  <c r="K144" i="31" s="1"/>
  <c r="K143" i="31"/>
  <c r="H143" i="31"/>
  <c r="K142" i="31"/>
  <c r="H142" i="31"/>
  <c r="K141" i="31"/>
  <c r="H141" i="31"/>
  <c r="K140" i="31"/>
  <c r="H139" i="31"/>
  <c r="K139" i="31" s="1"/>
  <c r="H138" i="31"/>
  <c r="K138" i="31" s="1"/>
  <c r="J136" i="31"/>
  <c r="K130" i="31"/>
  <c r="H130" i="31"/>
  <c r="K129" i="31"/>
  <c r="H129" i="31"/>
  <c r="H128" i="31"/>
  <c r="K128" i="31" s="1"/>
  <c r="K127" i="31"/>
  <c r="H127" i="31"/>
  <c r="K126" i="31"/>
  <c r="H126" i="31"/>
  <c r="H125" i="31"/>
  <c r="K125" i="31" s="1"/>
  <c r="K124" i="31"/>
  <c r="H124" i="31"/>
  <c r="K123" i="31"/>
  <c r="H123" i="31"/>
  <c r="H122" i="31"/>
  <c r="K122" i="31" s="1"/>
  <c r="K121" i="31"/>
  <c r="H121" i="31"/>
  <c r="K120" i="31"/>
  <c r="H120" i="31"/>
  <c r="H119" i="31"/>
  <c r="K119" i="31" s="1"/>
  <c r="K118" i="31"/>
  <c r="H118" i="31"/>
  <c r="K117" i="31"/>
  <c r="H117" i="31"/>
  <c r="H116" i="31"/>
  <c r="K116" i="31" s="1"/>
  <c r="K115" i="31"/>
  <c r="H115" i="31"/>
  <c r="K114" i="31"/>
  <c r="H114" i="31"/>
  <c r="H113" i="31"/>
  <c r="K113" i="31" s="1"/>
  <c r="K112" i="31"/>
  <c r="H112" i="31"/>
  <c r="K111" i="31"/>
  <c r="H111" i="31"/>
  <c r="H110" i="31"/>
  <c r="K110" i="31" s="1"/>
  <c r="K109" i="31"/>
  <c r="H109" i="31"/>
  <c r="H105" i="31"/>
  <c r="K105" i="31" s="1"/>
  <c r="K104" i="31"/>
  <c r="H104" i="31"/>
  <c r="H103" i="31"/>
  <c r="K103" i="31" s="1"/>
  <c r="H102" i="31"/>
  <c r="K102" i="31" s="1"/>
  <c r="H101" i="31"/>
  <c r="K101" i="31" s="1"/>
  <c r="H100" i="31"/>
  <c r="K100" i="31" s="1"/>
  <c r="H99" i="31"/>
  <c r="K99" i="31" s="1"/>
  <c r="K98" i="31"/>
  <c r="H98" i="31"/>
  <c r="H97" i="31"/>
  <c r="K97" i="31" s="1"/>
  <c r="H96" i="31"/>
  <c r="K96" i="31" s="1"/>
  <c r="K95" i="31"/>
  <c r="H95" i="31"/>
  <c r="K94" i="31"/>
  <c r="K93" i="31"/>
  <c r="K92" i="31"/>
  <c r="H91" i="31"/>
  <c r="K91" i="31" s="1"/>
  <c r="K90" i="31"/>
  <c r="H90" i="31"/>
  <c r="K89" i="31"/>
  <c r="H89" i="31"/>
  <c r="H88" i="31"/>
  <c r="K88" i="31" s="1"/>
  <c r="K87" i="31"/>
  <c r="H87" i="31"/>
  <c r="K86" i="31"/>
  <c r="H86" i="31"/>
  <c r="H85" i="31"/>
  <c r="K85" i="31" s="1"/>
  <c r="K84" i="31"/>
  <c r="H84" i="31"/>
  <c r="K83" i="31"/>
  <c r="H83" i="31"/>
  <c r="H82" i="31"/>
  <c r="K82" i="31" s="1"/>
  <c r="K81" i="31"/>
  <c r="H81" i="31"/>
  <c r="K80" i="31"/>
  <c r="H80" i="31"/>
  <c r="H79" i="31"/>
  <c r="K79" i="31" s="1"/>
  <c r="K78" i="31"/>
  <c r="H78" i="31"/>
  <c r="K77" i="31"/>
  <c r="H76" i="31"/>
  <c r="K76" i="31" s="1"/>
  <c r="K75" i="31"/>
  <c r="H75" i="31"/>
  <c r="H74" i="31"/>
  <c r="K74" i="31" s="1"/>
  <c r="H73" i="31"/>
  <c r="K73" i="31" s="1"/>
  <c r="K72" i="31"/>
  <c r="H72" i="31"/>
  <c r="J70" i="31"/>
  <c r="K67" i="31"/>
  <c r="H67" i="31"/>
  <c r="H66" i="31"/>
  <c r="K66" i="31" s="1"/>
  <c r="K65" i="31"/>
  <c r="H65" i="31"/>
  <c r="K64" i="31"/>
  <c r="H64" i="31"/>
  <c r="H63" i="31"/>
  <c r="K63" i="31" s="1"/>
  <c r="K62" i="31"/>
  <c r="H62" i="31"/>
  <c r="K61" i="31"/>
  <c r="H61" i="31"/>
  <c r="H60" i="31"/>
  <c r="K60" i="31" s="1"/>
  <c r="K59" i="31"/>
  <c r="H59" i="31"/>
  <c r="K58" i="31"/>
  <c r="H58" i="31"/>
  <c r="H57" i="31"/>
  <c r="K57" i="31" s="1"/>
  <c r="K56" i="31"/>
  <c r="H56" i="31"/>
  <c r="K55" i="31"/>
  <c r="H55" i="31"/>
  <c r="H54" i="31"/>
  <c r="K54" i="31" s="1"/>
  <c r="K53" i="31"/>
  <c r="H53" i="31"/>
  <c r="K52" i="31"/>
  <c r="H52" i="31"/>
  <c r="H51" i="31"/>
  <c r="K51" i="31" s="1"/>
  <c r="K50" i="31"/>
  <c r="H50" i="31"/>
  <c r="K49" i="31"/>
  <c r="H49" i="31"/>
  <c r="H48" i="31"/>
  <c r="K48" i="31" s="1"/>
  <c r="K47" i="31"/>
  <c r="H47" i="31"/>
  <c r="K46" i="31"/>
  <c r="H46" i="31"/>
  <c r="H45" i="31"/>
  <c r="K45" i="31" s="1"/>
  <c r="K44" i="31"/>
  <c r="H44" i="31"/>
  <c r="K43" i="31"/>
  <c r="H43" i="31"/>
  <c r="H42" i="31"/>
  <c r="K42" i="31" s="1"/>
  <c r="K41" i="31"/>
  <c r="H41" i="31"/>
  <c r="K40" i="31"/>
  <c r="H40" i="31"/>
  <c r="H39" i="31"/>
  <c r="K39" i="31" s="1"/>
  <c r="K38" i="31"/>
  <c r="H38" i="31"/>
  <c r="K37" i="31"/>
  <c r="H37" i="31"/>
  <c r="H36" i="31"/>
  <c r="K36" i="31" s="1"/>
  <c r="K35" i="31"/>
  <c r="H35" i="31"/>
  <c r="K34" i="31"/>
  <c r="H34" i="31"/>
  <c r="H33" i="31"/>
  <c r="K33" i="31" s="1"/>
  <c r="K32" i="31"/>
  <c r="H32" i="31"/>
  <c r="K31" i="31"/>
  <c r="H31" i="31"/>
  <c r="H30" i="31"/>
  <c r="K30" i="31" s="1"/>
  <c r="K29" i="31"/>
  <c r="H29" i="31"/>
  <c r="K28" i="31"/>
  <c r="H28" i="31"/>
  <c r="H27" i="31"/>
  <c r="K27" i="31" s="1"/>
  <c r="K26" i="31"/>
  <c r="H26" i="31"/>
  <c r="K25" i="31"/>
  <c r="H25" i="31"/>
  <c r="H24" i="31"/>
  <c r="K24" i="31" s="1"/>
  <c r="K23" i="31"/>
  <c r="H23" i="31"/>
  <c r="K22" i="31"/>
  <c r="H22" i="31"/>
  <c r="H21" i="31"/>
  <c r="K21" i="31" s="1"/>
  <c r="K20" i="31"/>
  <c r="H20" i="31"/>
  <c r="K19" i="31"/>
  <c r="H19" i="31"/>
  <c r="H18" i="31"/>
  <c r="K18" i="31" s="1"/>
  <c r="K17" i="31"/>
  <c r="H17" i="31"/>
  <c r="K16" i="31"/>
  <c r="H16" i="31"/>
  <c r="H15" i="31"/>
  <c r="K15" i="31" s="1"/>
  <c r="K14" i="31"/>
  <c r="H14" i="31"/>
  <c r="K13" i="31"/>
  <c r="H13" i="31"/>
  <c r="H12" i="31"/>
  <c r="K12" i="31" s="1"/>
  <c r="K11" i="31"/>
  <c r="H11" i="31"/>
  <c r="K10" i="31"/>
  <c r="H10" i="31"/>
  <c r="H9" i="31"/>
  <c r="K9" i="31" s="1"/>
  <c r="K8" i="31"/>
  <c r="H8" i="31"/>
  <c r="K7" i="31"/>
  <c r="H7" i="31"/>
  <c r="H6" i="31"/>
  <c r="K6" i="31" s="1"/>
  <c r="H167" i="30"/>
  <c r="K167" i="30" s="1"/>
  <c r="H165" i="30"/>
  <c r="K165" i="30" s="1"/>
  <c r="K164" i="30"/>
  <c r="H164" i="30"/>
  <c r="H163" i="30"/>
  <c r="K163" i="30" s="1"/>
  <c r="K162" i="30"/>
  <c r="H162" i="30"/>
  <c r="K161" i="30"/>
  <c r="H161" i="30"/>
  <c r="H159" i="30"/>
  <c r="K159" i="30" s="1"/>
  <c r="H158" i="30"/>
  <c r="K158" i="30" s="1"/>
  <c r="K157" i="30"/>
  <c r="H157" i="30"/>
  <c r="H156" i="30"/>
  <c r="K156" i="30" s="1"/>
  <c r="K155" i="30"/>
  <c r="H155" i="30"/>
  <c r="K154" i="30"/>
  <c r="H154" i="30"/>
  <c r="H153" i="30"/>
  <c r="K153" i="30" s="1"/>
  <c r="H152" i="30"/>
  <c r="K152" i="30" s="1"/>
  <c r="K151" i="30"/>
  <c r="H151" i="30"/>
  <c r="H150" i="30"/>
  <c r="K150" i="30" s="1"/>
  <c r="K149" i="30"/>
  <c r="H149" i="30"/>
  <c r="K148" i="30"/>
  <c r="H148" i="30"/>
  <c r="H147" i="30"/>
  <c r="K147" i="30" s="1"/>
  <c r="H146" i="30"/>
  <c r="K146" i="30" s="1"/>
  <c r="K145" i="30"/>
  <c r="H145" i="30"/>
  <c r="H144" i="30"/>
  <c r="K144" i="30" s="1"/>
  <c r="K143" i="30"/>
  <c r="H143" i="30"/>
  <c r="K142" i="30"/>
  <c r="H142" i="30"/>
  <c r="H141" i="30"/>
  <c r="K141" i="30" s="1"/>
  <c r="K140" i="30"/>
  <c r="H139" i="30"/>
  <c r="K139" i="30" s="1"/>
  <c r="H138" i="30"/>
  <c r="K138" i="30" s="1"/>
  <c r="J136" i="30"/>
  <c r="K130" i="30"/>
  <c r="H130" i="30"/>
  <c r="K129" i="30"/>
  <c r="H129" i="30"/>
  <c r="H128" i="30"/>
  <c r="K128" i="30" s="1"/>
  <c r="H127" i="30"/>
  <c r="K127" i="30" s="1"/>
  <c r="K126" i="30"/>
  <c r="H126" i="30"/>
  <c r="H125" i="30"/>
  <c r="K125" i="30" s="1"/>
  <c r="K124" i="30"/>
  <c r="H124" i="30"/>
  <c r="K123" i="30"/>
  <c r="H123" i="30"/>
  <c r="H122" i="30"/>
  <c r="K122" i="30" s="1"/>
  <c r="H121" i="30"/>
  <c r="K121" i="30" s="1"/>
  <c r="K120" i="30"/>
  <c r="H120" i="30"/>
  <c r="H119" i="30"/>
  <c r="K119" i="30" s="1"/>
  <c r="K118" i="30"/>
  <c r="H118" i="30"/>
  <c r="K117" i="30"/>
  <c r="H117" i="30"/>
  <c r="H116" i="30"/>
  <c r="K116" i="30" s="1"/>
  <c r="H115" i="30"/>
  <c r="K115" i="30" s="1"/>
  <c r="K114" i="30"/>
  <c r="H114" i="30"/>
  <c r="H113" i="30"/>
  <c r="K113" i="30" s="1"/>
  <c r="K112" i="30"/>
  <c r="H112" i="30"/>
  <c r="K111" i="30"/>
  <c r="H111" i="30"/>
  <c r="H110" i="30"/>
  <c r="K110" i="30" s="1"/>
  <c r="H109" i="30"/>
  <c r="K109" i="30" s="1"/>
  <c r="K168" i="30" s="1"/>
  <c r="H105" i="30"/>
  <c r="K105" i="30" s="1"/>
  <c r="H104" i="30"/>
  <c r="K104" i="30" s="1"/>
  <c r="H103" i="30"/>
  <c r="K103" i="30" s="1"/>
  <c r="K102" i="30"/>
  <c r="H102" i="30"/>
  <c r="H101" i="30"/>
  <c r="K101" i="30" s="1"/>
  <c r="H100" i="30"/>
  <c r="K100" i="30" s="1"/>
  <c r="H99" i="30"/>
  <c r="K99" i="30" s="1"/>
  <c r="H98" i="30"/>
  <c r="K98" i="30" s="1"/>
  <c r="H97" i="30"/>
  <c r="K97" i="30" s="1"/>
  <c r="K96" i="30"/>
  <c r="H96" i="30"/>
  <c r="K95" i="30"/>
  <c r="H95" i="30"/>
  <c r="K94" i="30"/>
  <c r="K93" i="30"/>
  <c r="K92" i="30"/>
  <c r="H91" i="30"/>
  <c r="K91" i="30" s="1"/>
  <c r="K90" i="30"/>
  <c r="H90" i="30"/>
  <c r="K89" i="30"/>
  <c r="H89" i="30"/>
  <c r="H88" i="30"/>
  <c r="K88" i="30" s="1"/>
  <c r="H87" i="30"/>
  <c r="K87" i="30" s="1"/>
  <c r="K86" i="30"/>
  <c r="H86" i="30"/>
  <c r="H85" i="30"/>
  <c r="K85" i="30" s="1"/>
  <c r="K84" i="30"/>
  <c r="H84" i="30"/>
  <c r="K83" i="30"/>
  <c r="H83" i="30"/>
  <c r="H82" i="30"/>
  <c r="K82" i="30" s="1"/>
  <c r="H81" i="30"/>
  <c r="K81" i="30" s="1"/>
  <c r="K80" i="30"/>
  <c r="H80" i="30"/>
  <c r="H79" i="30"/>
  <c r="K79" i="30" s="1"/>
  <c r="K78" i="30"/>
  <c r="H78" i="30"/>
  <c r="K77" i="30"/>
  <c r="K76" i="30"/>
  <c r="H76" i="30"/>
  <c r="K75" i="30"/>
  <c r="H75" i="30"/>
  <c r="H74" i="30"/>
  <c r="K74" i="30" s="1"/>
  <c r="H73" i="30"/>
  <c r="K73" i="30" s="1"/>
  <c r="H72" i="30"/>
  <c r="K72" i="30" s="1"/>
  <c r="J70" i="30"/>
  <c r="K67" i="30"/>
  <c r="H67" i="30"/>
  <c r="H66" i="30"/>
  <c r="K66" i="30" s="1"/>
  <c r="H65" i="30"/>
  <c r="K65" i="30" s="1"/>
  <c r="K64" i="30"/>
  <c r="H64" i="30"/>
  <c r="H63" i="30"/>
  <c r="K63" i="30" s="1"/>
  <c r="K62" i="30"/>
  <c r="H62" i="30"/>
  <c r="K61" i="30"/>
  <c r="H61" i="30"/>
  <c r="H60" i="30"/>
  <c r="K60" i="30" s="1"/>
  <c r="H59" i="30"/>
  <c r="K59" i="30" s="1"/>
  <c r="K58" i="30"/>
  <c r="H58" i="30"/>
  <c r="H57" i="30"/>
  <c r="K57" i="30" s="1"/>
  <c r="K56" i="30"/>
  <c r="H56" i="30"/>
  <c r="K55" i="30"/>
  <c r="H55" i="30"/>
  <c r="H54" i="30"/>
  <c r="K54" i="30" s="1"/>
  <c r="H53" i="30"/>
  <c r="K53" i="30" s="1"/>
  <c r="K52" i="30"/>
  <c r="H52" i="30"/>
  <c r="H51" i="30"/>
  <c r="K51" i="30" s="1"/>
  <c r="K50" i="30"/>
  <c r="H50" i="30"/>
  <c r="K49" i="30"/>
  <c r="H49" i="30"/>
  <c r="H48" i="30"/>
  <c r="K48" i="30" s="1"/>
  <c r="H47" i="30"/>
  <c r="K47" i="30" s="1"/>
  <c r="K46" i="30"/>
  <c r="H46" i="30"/>
  <c r="H45" i="30"/>
  <c r="K45" i="30" s="1"/>
  <c r="K44" i="30"/>
  <c r="H44" i="30"/>
  <c r="K43" i="30"/>
  <c r="H43" i="30"/>
  <c r="H42" i="30"/>
  <c r="K42" i="30" s="1"/>
  <c r="H41" i="30"/>
  <c r="K41" i="30" s="1"/>
  <c r="K40" i="30"/>
  <c r="H40" i="30"/>
  <c r="H39" i="30"/>
  <c r="K39" i="30" s="1"/>
  <c r="K38" i="30"/>
  <c r="H38" i="30"/>
  <c r="K37" i="30"/>
  <c r="H37" i="30"/>
  <c r="H36" i="30"/>
  <c r="K36" i="30" s="1"/>
  <c r="H35" i="30"/>
  <c r="K35" i="30" s="1"/>
  <c r="H34" i="30"/>
  <c r="K34" i="30" s="1"/>
  <c r="H33" i="30"/>
  <c r="K33" i="30" s="1"/>
  <c r="H32" i="30"/>
  <c r="K32" i="30" s="1"/>
  <c r="H31" i="30"/>
  <c r="K31" i="30" s="1"/>
  <c r="H30" i="30"/>
  <c r="K30" i="30" s="1"/>
  <c r="H29" i="30"/>
  <c r="K29" i="30" s="1"/>
  <c r="H28" i="30"/>
  <c r="K28" i="30" s="1"/>
  <c r="H27" i="30"/>
  <c r="K27" i="30" s="1"/>
  <c r="H26" i="30"/>
  <c r="K26" i="30" s="1"/>
  <c r="K25" i="30"/>
  <c r="H25" i="30"/>
  <c r="H24" i="30"/>
  <c r="K24" i="30" s="1"/>
  <c r="H23" i="30"/>
  <c r="K23" i="30" s="1"/>
  <c r="K22" i="30"/>
  <c r="H22" i="30"/>
  <c r="H21" i="30"/>
  <c r="K21" i="30" s="1"/>
  <c r="K20" i="30"/>
  <c r="H20" i="30"/>
  <c r="H19" i="30"/>
  <c r="K19" i="30" s="1"/>
  <c r="H18" i="30"/>
  <c r="K18" i="30" s="1"/>
  <c r="H17" i="30"/>
  <c r="K17" i="30" s="1"/>
  <c r="H16" i="30"/>
  <c r="K16" i="30" s="1"/>
  <c r="H15" i="30"/>
  <c r="K15" i="30" s="1"/>
  <c r="K14" i="30"/>
  <c r="H14" i="30"/>
  <c r="H13" i="30"/>
  <c r="K13" i="30" s="1"/>
  <c r="H12" i="30"/>
  <c r="K12" i="30" s="1"/>
  <c r="H11" i="30"/>
  <c r="K11" i="30" s="1"/>
  <c r="K10" i="30"/>
  <c r="H10" i="30"/>
  <c r="H9" i="30"/>
  <c r="K9" i="30" s="1"/>
  <c r="H8" i="30"/>
  <c r="K8" i="30" s="1"/>
  <c r="H7" i="30"/>
  <c r="K7" i="30" s="1"/>
  <c r="H6" i="30"/>
  <c r="K6" i="30" s="1"/>
  <c r="H129" i="21"/>
  <c r="H154" i="21"/>
  <c r="K129" i="21"/>
  <c r="H109" i="21"/>
  <c r="K77" i="21"/>
  <c r="K164" i="37" l="1"/>
  <c r="K103" i="37"/>
  <c r="K106" i="36"/>
  <c r="K168" i="36"/>
  <c r="K106" i="35"/>
  <c r="K168" i="35"/>
  <c r="K106" i="34"/>
  <c r="K168" i="34"/>
  <c r="K106" i="33"/>
  <c r="K168" i="33"/>
  <c r="K168" i="32"/>
  <c r="K106" i="32"/>
  <c r="K168" i="31"/>
  <c r="K106" i="31"/>
  <c r="K106" i="30"/>
  <c r="K92" i="21"/>
  <c r="H159" i="21" l="1"/>
  <c r="K159" i="21" s="1"/>
  <c r="H100" i="21"/>
  <c r="J70" i="21"/>
  <c r="J136" i="21" s="1"/>
  <c r="H14" i="21"/>
  <c r="K14" i="21" s="1"/>
  <c r="H15" i="21"/>
  <c r="K15" i="21" s="1"/>
  <c r="H104" i="21" l="1"/>
  <c r="K104" i="21" s="1"/>
  <c r="H103" i="21"/>
  <c r="K103" i="21" s="1"/>
  <c r="H102" i="21"/>
  <c r="K102" i="21" s="1"/>
  <c r="H101" i="21"/>
  <c r="K101" i="21" s="1"/>
  <c r="K100" i="21"/>
  <c r="H99" i="21"/>
  <c r="K99" i="21" s="1"/>
  <c r="H98" i="21"/>
  <c r="K98" i="21" s="1"/>
  <c r="H96" i="21"/>
  <c r="K96" i="21" s="1"/>
  <c r="H95" i="21"/>
  <c r="K95" i="21" s="1"/>
  <c r="K94" i="21"/>
  <c r="K93" i="21"/>
  <c r="H91" i="21"/>
  <c r="K91" i="21" s="1"/>
  <c r="H90" i="21"/>
  <c r="K90" i="21" s="1"/>
  <c r="H160" i="19"/>
  <c r="H99" i="19"/>
  <c r="K99" i="19" s="1"/>
  <c r="H98" i="19"/>
  <c r="K98" i="19" s="1"/>
  <c r="H97" i="19"/>
  <c r="K97" i="19" s="1"/>
  <c r="H96" i="19"/>
  <c r="K96" i="19" s="1"/>
  <c r="H95" i="19"/>
  <c r="K95" i="19" s="1"/>
  <c r="H94" i="19"/>
  <c r="K94" i="19" s="1"/>
  <c r="H93" i="19"/>
  <c r="K93" i="19" s="1"/>
  <c r="H92" i="19"/>
  <c r="K92" i="19" s="1"/>
  <c r="H91" i="19"/>
  <c r="K91" i="19" s="1"/>
  <c r="H90" i="19"/>
  <c r="K90" i="19" s="1"/>
  <c r="H89" i="19"/>
  <c r="K89" i="19" s="1"/>
  <c r="H88" i="19"/>
  <c r="K88" i="19" s="1"/>
  <c r="H87" i="19"/>
  <c r="K87" i="19" s="1"/>
  <c r="H86" i="19"/>
  <c r="K86" i="19" s="1"/>
  <c r="H85" i="19"/>
  <c r="K85" i="19" s="1"/>
  <c r="H84" i="19"/>
  <c r="K84" i="19" s="1"/>
  <c r="H83" i="19"/>
  <c r="K83" i="19" s="1"/>
  <c r="H82" i="19"/>
  <c r="K82" i="19" s="1"/>
  <c r="H81" i="19"/>
  <c r="K81" i="19" s="1"/>
  <c r="H80" i="19"/>
  <c r="K80" i="19" s="1"/>
  <c r="H79" i="19"/>
  <c r="K79" i="19" s="1"/>
  <c r="H78" i="19"/>
  <c r="K78" i="19" s="1"/>
  <c r="H77" i="19"/>
  <c r="K77" i="19" s="1"/>
  <c r="H76" i="19"/>
  <c r="K76" i="19" s="1"/>
  <c r="H75" i="19"/>
  <c r="K75" i="19" s="1"/>
  <c r="H74" i="19"/>
  <c r="K74" i="19" s="1"/>
  <c r="H73" i="19"/>
  <c r="K73" i="19" s="1"/>
  <c r="H72" i="19"/>
  <c r="K72" i="19" s="1"/>
  <c r="H71" i="19"/>
  <c r="K71" i="19" s="1"/>
  <c r="H70" i="19"/>
  <c r="K70" i="19" s="1"/>
  <c r="H64" i="19"/>
  <c r="K64" i="19" s="1"/>
  <c r="H63" i="19"/>
  <c r="K63" i="19" s="1"/>
  <c r="H62" i="19"/>
  <c r="K62" i="19" s="1"/>
  <c r="H61" i="19"/>
  <c r="K61" i="19" s="1"/>
  <c r="H60" i="19"/>
  <c r="K60" i="19" s="1"/>
  <c r="H59" i="19"/>
  <c r="K59" i="19" s="1"/>
  <c r="H58" i="19"/>
  <c r="K58" i="19" s="1"/>
  <c r="H57" i="19"/>
  <c r="K57" i="19" s="1"/>
  <c r="H56" i="19"/>
  <c r="K56" i="19" s="1"/>
  <c r="H55" i="19"/>
  <c r="K55" i="19" s="1"/>
  <c r="H54" i="19"/>
  <c r="K54" i="19" s="1"/>
  <c r="H53" i="19"/>
  <c r="K53" i="19" s="1"/>
  <c r="H52" i="19"/>
  <c r="K52" i="19" s="1"/>
  <c r="H51" i="19"/>
  <c r="K51" i="19" s="1"/>
  <c r="H50" i="19"/>
  <c r="K50" i="19" s="1"/>
  <c r="H49" i="19"/>
  <c r="K49" i="19" s="1"/>
  <c r="H48" i="19"/>
  <c r="K48" i="19" s="1"/>
  <c r="H47" i="19"/>
  <c r="K47" i="19" s="1"/>
  <c r="H46" i="19"/>
  <c r="K46" i="19" s="1"/>
  <c r="H45" i="19"/>
  <c r="K45" i="19" s="1"/>
  <c r="H44" i="19"/>
  <c r="K44" i="19" s="1"/>
  <c r="H43" i="19"/>
  <c r="K43" i="19" s="1"/>
  <c r="H42" i="19"/>
  <c r="K42" i="19" s="1"/>
  <c r="H41" i="19"/>
  <c r="K41" i="19" s="1"/>
  <c r="H40" i="19"/>
  <c r="K40" i="19" s="1"/>
  <c r="H39" i="19"/>
  <c r="K39" i="19" s="1"/>
  <c r="H38" i="19"/>
  <c r="K38" i="19" s="1"/>
  <c r="H37" i="19"/>
  <c r="K37" i="19" s="1"/>
  <c r="H36" i="19"/>
  <c r="K36" i="19" s="1"/>
  <c r="H35" i="19"/>
  <c r="K35" i="19" s="1"/>
  <c r="H34" i="19"/>
  <c r="K34" i="19" s="1"/>
  <c r="H33" i="19"/>
  <c r="K33" i="19" s="1"/>
  <c r="H32" i="19"/>
  <c r="K32" i="19" s="1"/>
  <c r="H31" i="19"/>
  <c r="K31" i="19" s="1"/>
  <c r="H30" i="19"/>
  <c r="K30" i="19" s="1"/>
  <c r="H29" i="19"/>
  <c r="K29" i="19" s="1"/>
  <c r="H28" i="19"/>
  <c r="K28" i="19" s="1"/>
  <c r="H27" i="19"/>
  <c r="K27" i="19" s="1"/>
  <c r="H26" i="19"/>
  <c r="K26" i="19" s="1"/>
  <c r="H25" i="19"/>
  <c r="K25" i="19" s="1"/>
  <c r="H22" i="19"/>
  <c r="K22" i="19" s="1"/>
  <c r="H21" i="19"/>
  <c r="K21" i="19" s="1"/>
  <c r="H20" i="19"/>
  <c r="K20" i="19" s="1"/>
  <c r="H19" i="19"/>
  <c r="K19" i="19" s="1"/>
  <c r="H18" i="19"/>
  <c r="K18" i="19" s="1"/>
  <c r="H17" i="19"/>
  <c r="K17" i="19" s="1"/>
  <c r="H16" i="19"/>
  <c r="K16" i="19" s="1"/>
  <c r="H15" i="19"/>
  <c r="K15" i="19" s="1"/>
  <c r="H14" i="19"/>
  <c r="K14" i="19" s="1"/>
  <c r="H13" i="19"/>
  <c r="K13" i="19" s="1"/>
  <c r="H12" i="19"/>
  <c r="K12" i="19" s="1"/>
  <c r="H11" i="19"/>
  <c r="K11" i="19" s="1"/>
  <c r="H10" i="19"/>
  <c r="K10" i="19" s="1"/>
  <c r="H9" i="19"/>
  <c r="K9" i="19" s="1"/>
  <c r="H8" i="19"/>
  <c r="K8" i="19" s="1"/>
  <c r="H139" i="19"/>
  <c r="K139" i="19" s="1"/>
  <c r="H140" i="19"/>
  <c r="K140" i="19" s="1"/>
  <c r="K141" i="19"/>
  <c r="H142" i="19"/>
  <c r="K142" i="19" s="1"/>
  <c r="H143" i="19"/>
  <c r="K143" i="19" s="1"/>
  <c r="H144" i="19"/>
  <c r="K144" i="19" s="1"/>
  <c r="H145" i="19"/>
  <c r="K145" i="19" s="1"/>
  <c r="H146" i="19"/>
  <c r="K146" i="19" s="1"/>
  <c r="H147" i="19"/>
  <c r="K147" i="19" s="1"/>
  <c r="H148" i="19"/>
  <c r="K148" i="19" s="1"/>
  <c r="H149" i="19"/>
  <c r="K149" i="19" s="1"/>
  <c r="H150" i="19"/>
  <c r="K150" i="19" s="1"/>
  <c r="H151" i="19"/>
  <c r="K151" i="19" s="1"/>
  <c r="H152" i="19"/>
  <c r="K152" i="19" s="1"/>
  <c r="H153" i="19"/>
  <c r="K153" i="19" s="1"/>
  <c r="H154" i="19"/>
  <c r="K154" i="19" s="1"/>
  <c r="H155" i="19"/>
  <c r="K155" i="19" s="1"/>
  <c r="H156" i="19"/>
  <c r="K156" i="19" s="1"/>
  <c r="H157" i="19"/>
  <c r="K157" i="19" s="1"/>
  <c r="H158" i="19"/>
  <c r="K158" i="19" s="1"/>
  <c r="H159" i="19"/>
  <c r="K159" i="19" s="1"/>
  <c r="H162" i="19"/>
  <c r="K162" i="19" s="1"/>
  <c r="H163" i="19"/>
  <c r="K163" i="19" s="1"/>
  <c r="H164" i="19"/>
  <c r="K164" i="19" s="1"/>
  <c r="H165" i="19"/>
  <c r="K165" i="19" s="1"/>
  <c r="H166" i="19"/>
  <c r="K166" i="19" s="1"/>
  <c r="H167" i="19"/>
  <c r="K167" i="19" s="1"/>
  <c r="H128" i="19"/>
  <c r="K128" i="19" s="1"/>
  <c r="H127" i="19"/>
  <c r="K127" i="19" s="1"/>
  <c r="H126" i="19"/>
  <c r="K126" i="19" s="1"/>
  <c r="H125" i="19"/>
  <c r="K125" i="19" s="1"/>
  <c r="H124" i="19"/>
  <c r="K124" i="19" s="1"/>
  <c r="H123" i="19"/>
  <c r="K123" i="19" s="1"/>
  <c r="H122" i="19"/>
  <c r="K122" i="19" s="1"/>
  <c r="H121" i="19"/>
  <c r="K121" i="19" s="1"/>
  <c r="H120" i="19"/>
  <c r="K120" i="19" s="1"/>
  <c r="H119" i="19"/>
  <c r="K119" i="19" s="1"/>
  <c r="H118" i="19"/>
  <c r="K118" i="19" s="1"/>
  <c r="H117" i="19"/>
  <c r="K117" i="19" s="1"/>
  <c r="H116" i="19"/>
  <c r="K116" i="19" s="1"/>
  <c r="H115" i="19"/>
  <c r="K115" i="19" s="1"/>
  <c r="H114" i="19"/>
  <c r="K114" i="19" s="1"/>
  <c r="H113" i="19"/>
  <c r="K113" i="19" s="1"/>
  <c r="H112" i="19"/>
  <c r="K112" i="19" s="1"/>
  <c r="H111" i="19"/>
  <c r="K111" i="19" s="1"/>
  <c r="H110" i="19"/>
  <c r="K110" i="19" s="1"/>
  <c r="H109" i="19"/>
  <c r="K109" i="19" s="1"/>
  <c r="H108" i="19"/>
  <c r="K108" i="19" s="1"/>
  <c r="H102" i="19"/>
  <c r="K102" i="19" s="1"/>
  <c r="H164" i="18"/>
  <c r="K164" i="18" s="1"/>
  <c r="H163" i="18"/>
  <c r="K163" i="18" s="1"/>
  <c r="H162" i="18"/>
  <c r="K162" i="18" s="1"/>
  <c r="H161" i="18"/>
  <c r="K161" i="18" s="1"/>
  <c r="H160" i="18"/>
  <c r="K160" i="18" s="1"/>
  <c r="H159" i="18"/>
  <c r="K159" i="18" s="1"/>
  <c r="H156" i="18"/>
  <c r="K156" i="18" s="1"/>
  <c r="H155" i="18"/>
  <c r="K155" i="18" s="1"/>
  <c r="H154" i="18"/>
  <c r="K154" i="18" s="1"/>
  <c r="H153" i="18"/>
  <c r="K153" i="18" s="1"/>
  <c r="H152" i="18"/>
  <c r="K152" i="18" s="1"/>
  <c r="H151" i="18"/>
  <c r="K151" i="18" s="1"/>
  <c r="H150" i="18"/>
  <c r="K150" i="18" s="1"/>
  <c r="H149" i="18"/>
  <c r="K149" i="18" s="1"/>
  <c r="H148" i="18"/>
  <c r="K148" i="18" s="1"/>
  <c r="H147" i="18"/>
  <c r="K147" i="18" s="1"/>
  <c r="H146" i="18"/>
  <c r="K146" i="18" s="1"/>
  <c r="H145" i="18"/>
  <c r="K145" i="18" s="1"/>
  <c r="H144" i="18"/>
  <c r="K144" i="18" s="1"/>
  <c r="H143" i="18"/>
  <c r="K143" i="18" s="1"/>
  <c r="H142" i="18"/>
  <c r="K142" i="18" s="1"/>
  <c r="H141" i="18"/>
  <c r="K141" i="18" s="1"/>
  <c r="H140" i="18"/>
  <c r="K140" i="18" s="1"/>
  <c r="H139" i="18"/>
  <c r="K139" i="18" s="1"/>
  <c r="K138" i="18"/>
  <c r="H137" i="18"/>
  <c r="K137" i="18" s="1"/>
  <c r="H136" i="18"/>
  <c r="K136" i="18" s="1"/>
  <c r="H130" i="18"/>
  <c r="K130" i="18" s="1"/>
  <c r="H129" i="18"/>
  <c r="K129" i="18" s="1"/>
  <c r="H128" i="18"/>
  <c r="K128" i="18" s="1"/>
  <c r="H127" i="18"/>
  <c r="K127" i="18" s="1"/>
  <c r="H126" i="18"/>
  <c r="K126" i="18" s="1"/>
  <c r="H125" i="18"/>
  <c r="K125" i="18" s="1"/>
  <c r="H124" i="18"/>
  <c r="K124" i="18" s="1"/>
  <c r="H123" i="18"/>
  <c r="K123" i="18" s="1"/>
  <c r="H122" i="18"/>
  <c r="K122" i="18" s="1"/>
  <c r="H121" i="18"/>
  <c r="K121" i="18" s="1"/>
  <c r="H120" i="18"/>
  <c r="K120" i="18" s="1"/>
  <c r="H119" i="18"/>
  <c r="K119" i="18" s="1"/>
  <c r="H118" i="18"/>
  <c r="K118" i="18" s="1"/>
  <c r="H117" i="18"/>
  <c r="K117" i="18" s="1"/>
  <c r="H116" i="18"/>
  <c r="K116" i="18" s="1"/>
  <c r="H115" i="18"/>
  <c r="K115" i="18" s="1"/>
  <c r="H114" i="18"/>
  <c r="K114" i="18" s="1"/>
  <c r="H113" i="18"/>
  <c r="K113" i="18" s="1"/>
  <c r="H112" i="18"/>
  <c r="K112" i="18" s="1"/>
  <c r="H111" i="18"/>
  <c r="K111" i="18" s="1"/>
  <c r="H110" i="18"/>
  <c r="K110" i="18" s="1"/>
  <c r="H104" i="18"/>
  <c r="K104" i="18" s="1"/>
  <c r="J103" i="18"/>
  <c r="H103" i="18"/>
  <c r="H102" i="18"/>
  <c r="K102" i="18" s="1"/>
  <c r="H101" i="18"/>
  <c r="K101" i="18" s="1"/>
  <c r="H100" i="18"/>
  <c r="K100" i="18" s="1"/>
  <c r="H99" i="18"/>
  <c r="K99" i="18" s="1"/>
  <c r="H98" i="18"/>
  <c r="K98" i="18" s="1"/>
  <c r="H97" i="18"/>
  <c r="K97" i="18" s="1"/>
  <c r="H96" i="18"/>
  <c r="K96" i="18" s="1"/>
  <c r="H95" i="18"/>
  <c r="K95" i="18" s="1"/>
  <c r="H94" i="18"/>
  <c r="K94" i="18" s="1"/>
  <c r="H93" i="18"/>
  <c r="K93" i="18" s="1"/>
  <c r="H92" i="18"/>
  <c r="K92" i="18" s="1"/>
  <c r="H91" i="18"/>
  <c r="K91" i="18" s="1"/>
  <c r="K90" i="18"/>
  <c r="H89" i="18"/>
  <c r="K89" i="18" s="1"/>
  <c r="H88" i="18"/>
  <c r="K88" i="18" s="1"/>
  <c r="H87" i="18"/>
  <c r="K87" i="18" s="1"/>
  <c r="H86" i="18"/>
  <c r="K86" i="18" s="1"/>
  <c r="H85" i="18"/>
  <c r="K85" i="18" s="1"/>
  <c r="H84" i="18"/>
  <c r="K84" i="18" s="1"/>
  <c r="H83" i="18"/>
  <c r="K83" i="18" s="1"/>
  <c r="H82" i="18"/>
  <c r="K82" i="18" s="1"/>
  <c r="H81" i="18"/>
  <c r="K81" i="18" s="1"/>
  <c r="H80" i="18"/>
  <c r="K80" i="18" s="1"/>
  <c r="H79" i="18"/>
  <c r="K79" i="18" s="1"/>
  <c r="H78" i="18"/>
  <c r="K78" i="18" s="1"/>
  <c r="H77" i="18"/>
  <c r="K77" i="18" s="1"/>
  <c r="H76" i="18"/>
  <c r="K76" i="18" s="1"/>
  <c r="H75" i="18"/>
  <c r="K75" i="18" s="1"/>
  <c r="H74" i="18"/>
  <c r="K74" i="18" s="1"/>
  <c r="H73" i="18"/>
  <c r="K73" i="18" s="1"/>
  <c r="H72" i="18"/>
  <c r="K72" i="18" s="1"/>
  <c r="H62" i="18"/>
  <c r="K62" i="18" s="1"/>
  <c r="H61" i="18"/>
  <c r="K61" i="18" s="1"/>
  <c r="H60" i="18"/>
  <c r="K60" i="18" s="1"/>
  <c r="H59" i="18"/>
  <c r="K59" i="18" s="1"/>
  <c r="H58" i="18"/>
  <c r="K58" i="18" s="1"/>
  <c r="H57" i="18"/>
  <c r="K57" i="18" s="1"/>
  <c r="H56" i="18"/>
  <c r="K56" i="18" s="1"/>
  <c r="H55" i="18"/>
  <c r="K55" i="18" s="1"/>
  <c r="H54" i="18"/>
  <c r="K54" i="18" s="1"/>
  <c r="H53" i="18"/>
  <c r="K53" i="18" s="1"/>
  <c r="H52" i="18"/>
  <c r="K52" i="18" s="1"/>
  <c r="H51" i="18"/>
  <c r="K51" i="18" s="1"/>
  <c r="H50" i="18"/>
  <c r="K50" i="18" s="1"/>
  <c r="H49" i="18"/>
  <c r="K49" i="18" s="1"/>
  <c r="H48" i="18"/>
  <c r="K48" i="18" s="1"/>
  <c r="H47" i="18"/>
  <c r="K47" i="18" s="1"/>
  <c r="H46" i="18"/>
  <c r="K46" i="18" s="1"/>
  <c r="H45" i="18"/>
  <c r="K45" i="18" s="1"/>
  <c r="H44" i="18"/>
  <c r="K44" i="18" s="1"/>
  <c r="H43" i="18"/>
  <c r="K43" i="18" s="1"/>
  <c r="H42" i="18"/>
  <c r="K42" i="18" s="1"/>
  <c r="H41" i="18"/>
  <c r="K41" i="18" s="1"/>
  <c r="H40" i="18"/>
  <c r="K40" i="18" s="1"/>
  <c r="H39" i="18"/>
  <c r="K39" i="18" s="1"/>
  <c r="H38" i="18"/>
  <c r="K38" i="18" s="1"/>
  <c r="H37" i="18"/>
  <c r="K37" i="18" s="1"/>
  <c r="H36" i="18"/>
  <c r="K36" i="18" s="1"/>
  <c r="H35" i="18"/>
  <c r="K35" i="18" s="1"/>
  <c r="H34" i="18"/>
  <c r="K34" i="18" s="1"/>
  <c r="H33" i="18"/>
  <c r="K33" i="18" s="1"/>
  <c r="H32" i="18"/>
  <c r="K32" i="18" s="1"/>
  <c r="H31" i="18"/>
  <c r="K31" i="18" s="1"/>
  <c r="H30" i="18"/>
  <c r="K30" i="18" s="1"/>
  <c r="H29" i="18"/>
  <c r="K29" i="18" s="1"/>
  <c r="H28" i="18"/>
  <c r="K28" i="18" s="1"/>
  <c r="H27" i="18"/>
  <c r="K27" i="18" s="1"/>
  <c r="H26" i="18"/>
  <c r="K26" i="18" s="1"/>
  <c r="H25" i="18"/>
  <c r="K25" i="18" s="1"/>
  <c r="H24" i="18"/>
  <c r="K24" i="18" s="1"/>
  <c r="H23" i="18"/>
  <c r="K23" i="18" s="1"/>
  <c r="H22" i="18"/>
  <c r="K22" i="18" s="1"/>
  <c r="H21" i="18"/>
  <c r="K21" i="18" s="1"/>
  <c r="H20" i="18"/>
  <c r="K20" i="18" s="1"/>
  <c r="H19" i="18"/>
  <c r="K19" i="18" s="1"/>
  <c r="H18" i="18"/>
  <c r="K18" i="18" s="1"/>
  <c r="H17" i="18"/>
  <c r="K17" i="18" s="1"/>
  <c r="H16" i="18"/>
  <c r="K16" i="18" s="1"/>
  <c r="H15" i="18"/>
  <c r="K15" i="18" s="1"/>
  <c r="H14" i="18"/>
  <c r="K14" i="18" s="1"/>
  <c r="H13" i="18"/>
  <c r="K13" i="18" s="1"/>
  <c r="H12" i="18"/>
  <c r="K12" i="18" s="1"/>
  <c r="H11" i="18"/>
  <c r="K11" i="18" s="1"/>
  <c r="H10" i="18"/>
  <c r="K10" i="18" s="1"/>
  <c r="H9" i="18"/>
  <c r="K9" i="18" s="1"/>
  <c r="H8" i="18"/>
  <c r="K8" i="18" s="1"/>
  <c r="H7" i="18"/>
  <c r="K7" i="18" s="1"/>
  <c r="H6" i="18"/>
  <c r="K6" i="18" s="1"/>
  <c r="H5" i="18"/>
  <c r="K5" i="18" s="1"/>
  <c r="H4" i="18"/>
  <c r="K4" i="18" s="1"/>
  <c r="H3" i="18"/>
  <c r="K3" i="18" s="1"/>
  <c r="K168" i="19" l="1"/>
  <c r="K103" i="18"/>
  <c r="K107" i="18" s="1"/>
  <c r="K166" i="18"/>
  <c r="H97" i="20" l="1"/>
  <c r="K97" i="20" s="1"/>
  <c r="K98" i="20"/>
  <c r="K94" i="20"/>
  <c r="H95" i="20"/>
  <c r="K95" i="20"/>
  <c r="K89" i="20"/>
  <c r="H66" i="21"/>
  <c r="K66" i="21" s="1"/>
  <c r="H65" i="21"/>
  <c r="K65" i="21" s="1"/>
  <c r="H66" i="20"/>
  <c r="K66" i="20" s="1"/>
  <c r="H65" i="20"/>
  <c r="K65" i="20" s="1"/>
  <c r="H65" i="17"/>
  <c r="K65" i="17" s="1"/>
  <c r="K64" i="17"/>
  <c r="H64" i="17"/>
  <c r="H63" i="17"/>
  <c r="K63" i="17" s="1"/>
  <c r="H62" i="17"/>
  <c r="K62" i="17" s="1"/>
  <c r="H64" i="21"/>
  <c r="K64" i="21" s="1"/>
  <c r="H63" i="21"/>
  <c r="K63" i="21" s="1"/>
  <c r="H62" i="21"/>
  <c r="K62" i="21" s="1"/>
  <c r="H64" i="20"/>
  <c r="K64" i="20" s="1"/>
  <c r="H63" i="20"/>
  <c r="K63" i="20" s="1"/>
  <c r="H62" i="20"/>
  <c r="K62" i="20" s="1"/>
  <c r="H167" i="21"/>
  <c r="K167" i="21" s="1"/>
  <c r="H165" i="21"/>
  <c r="K165" i="21" s="1"/>
  <c r="H164" i="21"/>
  <c r="K164" i="21" s="1"/>
  <c r="H163" i="21"/>
  <c r="K163" i="21" s="1"/>
  <c r="H162" i="21"/>
  <c r="K162" i="21" s="1"/>
  <c r="H161" i="21"/>
  <c r="K161" i="21" s="1"/>
  <c r="H158" i="21"/>
  <c r="K158" i="21" s="1"/>
  <c r="H157" i="21"/>
  <c r="K157" i="21" s="1"/>
  <c r="H156" i="21"/>
  <c r="K156" i="21" s="1"/>
  <c r="H155" i="21"/>
  <c r="K155" i="21" s="1"/>
  <c r="K154" i="21"/>
  <c r="H153" i="21"/>
  <c r="K153" i="21" s="1"/>
  <c r="H152" i="21"/>
  <c r="K152" i="21" s="1"/>
  <c r="H151" i="21"/>
  <c r="K151" i="21" s="1"/>
  <c r="H150" i="21"/>
  <c r="K150" i="21" s="1"/>
  <c r="H149" i="21"/>
  <c r="K149" i="21" s="1"/>
  <c r="H148" i="21"/>
  <c r="K148" i="21" s="1"/>
  <c r="H147" i="21"/>
  <c r="K147" i="21" s="1"/>
  <c r="H146" i="21"/>
  <c r="K146" i="21" s="1"/>
  <c r="H145" i="21"/>
  <c r="K145" i="21" s="1"/>
  <c r="H144" i="21"/>
  <c r="K144" i="21" s="1"/>
  <c r="H143" i="21"/>
  <c r="K143" i="21" s="1"/>
  <c r="H142" i="21"/>
  <c r="K142" i="21" s="1"/>
  <c r="H141" i="21"/>
  <c r="K141" i="21" s="1"/>
  <c r="K140" i="21"/>
  <c r="H139" i="21"/>
  <c r="K139" i="21" s="1"/>
  <c r="H138" i="21"/>
  <c r="K138" i="21" s="1"/>
  <c r="H130" i="21"/>
  <c r="K130" i="21" s="1"/>
  <c r="H128" i="21"/>
  <c r="K128" i="21" s="1"/>
  <c r="H127" i="21"/>
  <c r="K127" i="21" s="1"/>
  <c r="H126" i="21"/>
  <c r="K126" i="21" s="1"/>
  <c r="H125" i="21"/>
  <c r="K125" i="21" s="1"/>
  <c r="H124" i="21"/>
  <c r="K124" i="21" s="1"/>
  <c r="H123" i="21"/>
  <c r="K123" i="21" s="1"/>
  <c r="H122" i="21"/>
  <c r="K122" i="21" s="1"/>
  <c r="H121" i="21"/>
  <c r="K121" i="21" s="1"/>
  <c r="H120" i="21"/>
  <c r="K120" i="21" s="1"/>
  <c r="H119" i="21"/>
  <c r="K119" i="21" s="1"/>
  <c r="H118" i="21"/>
  <c r="K118" i="21" s="1"/>
  <c r="H117" i="21"/>
  <c r="K117" i="21" s="1"/>
  <c r="H116" i="21"/>
  <c r="K116" i="21" s="1"/>
  <c r="H115" i="21"/>
  <c r="K115" i="21" s="1"/>
  <c r="H114" i="21"/>
  <c r="K114" i="21" s="1"/>
  <c r="H113" i="21"/>
  <c r="K113" i="21" s="1"/>
  <c r="H112" i="21"/>
  <c r="K112" i="21" s="1"/>
  <c r="H111" i="21"/>
  <c r="K111" i="21" s="1"/>
  <c r="H110" i="21"/>
  <c r="K110" i="21" s="1"/>
  <c r="K109" i="21"/>
  <c r="H105" i="21"/>
  <c r="H97" i="21"/>
  <c r="K97" i="21" s="1"/>
  <c r="H89" i="21"/>
  <c r="K89" i="21" s="1"/>
  <c r="H88" i="21"/>
  <c r="K88" i="21" s="1"/>
  <c r="H87" i="21"/>
  <c r="K87" i="21" s="1"/>
  <c r="H86" i="21"/>
  <c r="K86" i="21" s="1"/>
  <c r="H85" i="21"/>
  <c r="K85" i="21" s="1"/>
  <c r="H84" i="21"/>
  <c r="K84" i="21" s="1"/>
  <c r="H83" i="21"/>
  <c r="K83" i="21" s="1"/>
  <c r="H82" i="21"/>
  <c r="K82" i="21" s="1"/>
  <c r="H81" i="21"/>
  <c r="K81" i="21" s="1"/>
  <c r="H80" i="21"/>
  <c r="K80" i="21" s="1"/>
  <c r="H79" i="21"/>
  <c r="K79" i="21" s="1"/>
  <c r="H78" i="21"/>
  <c r="K78" i="21" s="1"/>
  <c r="H76" i="21"/>
  <c r="K76" i="21" s="1"/>
  <c r="H75" i="21"/>
  <c r="K75" i="21" s="1"/>
  <c r="H74" i="21"/>
  <c r="K74" i="21" s="1"/>
  <c r="H73" i="21"/>
  <c r="K73" i="21" s="1"/>
  <c r="H72" i="21"/>
  <c r="K72" i="21" s="1"/>
  <c r="H67" i="21"/>
  <c r="K67" i="21" s="1"/>
  <c r="H61" i="21"/>
  <c r="K61" i="21" s="1"/>
  <c r="H60" i="21"/>
  <c r="K60" i="21" s="1"/>
  <c r="H59" i="21"/>
  <c r="K59" i="21" s="1"/>
  <c r="H58" i="21"/>
  <c r="K58" i="21" s="1"/>
  <c r="H57" i="21"/>
  <c r="K57" i="21" s="1"/>
  <c r="H56" i="21"/>
  <c r="K56" i="21" s="1"/>
  <c r="H55" i="21"/>
  <c r="K55" i="21" s="1"/>
  <c r="H54" i="21"/>
  <c r="K54" i="21" s="1"/>
  <c r="H53" i="21"/>
  <c r="K53" i="21" s="1"/>
  <c r="H52" i="21"/>
  <c r="K52" i="21" s="1"/>
  <c r="H51" i="21"/>
  <c r="K51" i="21" s="1"/>
  <c r="H50" i="21"/>
  <c r="K50" i="21" s="1"/>
  <c r="H49" i="21"/>
  <c r="K49" i="21" s="1"/>
  <c r="H48" i="21"/>
  <c r="K48" i="21" s="1"/>
  <c r="H47" i="21"/>
  <c r="K47" i="21" s="1"/>
  <c r="H46" i="21"/>
  <c r="K46" i="21" s="1"/>
  <c r="H45" i="21"/>
  <c r="K45" i="21" s="1"/>
  <c r="H44" i="21"/>
  <c r="K44" i="21" s="1"/>
  <c r="H43" i="21"/>
  <c r="K43" i="21" s="1"/>
  <c r="H42" i="21"/>
  <c r="K42" i="21" s="1"/>
  <c r="H41" i="21"/>
  <c r="K41" i="21" s="1"/>
  <c r="H40" i="21"/>
  <c r="K40" i="21" s="1"/>
  <c r="H39" i="21"/>
  <c r="K39" i="21" s="1"/>
  <c r="H38" i="21"/>
  <c r="K38" i="21" s="1"/>
  <c r="H37" i="21"/>
  <c r="K37" i="21" s="1"/>
  <c r="H36" i="21"/>
  <c r="K36" i="21" s="1"/>
  <c r="H35" i="21"/>
  <c r="K35" i="21" s="1"/>
  <c r="H34" i="21"/>
  <c r="K34" i="21" s="1"/>
  <c r="H33" i="21"/>
  <c r="K33" i="21" s="1"/>
  <c r="H32" i="21"/>
  <c r="K32" i="21" s="1"/>
  <c r="H31" i="21"/>
  <c r="K31" i="21" s="1"/>
  <c r="H30" i="21"/>
  <c r="K30" i="21" s="1"/>
  <c r="H29" i="21"/>
  <c r="K29" i="21" s="1"/>
  <c r="H28" i="21"/>
  <c r="K28" i="21" s="1"/>
  <c r="H27" i="21"/>
  <c r="K27" i="21" s="1"/>
  <c r="H26" i="21"/>
  <c r="K26" i="21" s="1"/>
  <c r="H25" i="21"/>
  <c r="K25" i="21" s="1"/>
  <c r="H24" i="21"/>
  <c r="K24" i="21" s="1"/>
  <c r="H23" i="21"/>
  <c r="K23" i="21" s="1"/>
  <c r="H22" i="21"/>
  <c r="K22" i="21" s="1"/>
  <c r="H21" i="21"/>
  <c r="K21" i="21" s="1"/>
  <c r="H20" i="21"/>
  <c r="K20" i="21" s="1"/>
  <c r="H19" i="21"/>
  <c r="K19" i="21" s="1"/>
  <c r="H18" i="21"/>
  <c r="K18" i="21" s="1"/>
  <c r="H17" i="21"/>
  <c r="K17" i="21" s="1"/>
  <c r="H16" i="21"/>
  <c r="K16" i="21" s="1"/>
  <c r="H13" i="21"/>
  <c r="K13" i="21" s="1"/>
  <c r="H12" i="21"/>
  <c r="K12" i="21" s="1"/>
  <c r="H11" i="21"/>
  <c r="K11" i="21" s="1"/>
  <c r="H10" i="21"/>
  <c r="K10" i="21" s="1"/>
  <c r="H9" i="21"/>
  <c r="K9" i="21" s="1"/>
  <c r="H8" i="21"/>
  <c r="K8" i="21" s="1"/>
  <c r="H7" i="21"/>
  <c r="K7" i="21" s="1"/>
  <c r="H6" i="21"/>
  <c r="K6" i="21" s="1"/>
  <c r="H166" i="20"/>
  <c r="K166" i="20" s="1"/>
  <c r="H165" i="20"/>
  <c r="K165" i="20" s="1"/>
  <c r="H164" i="20"/>
  <c r="K164" i="20" s="1"/>
  <c r="H163" i="20"/>
  <c r="K163" i="20" s="1"/>
  <c r="H162" i="20"/>
  <c r="K162" i="20" s="1"/>
  <c r="H161" i="20"/>
  <c r="K161" i="20" s="1"/>
  <c r="H158" i="20"/>
  <c r="K158" i="20" s="1"/>
  <c r="H157" i="20"/>
  <c r="K157" i="20" s="1"/>
  <c r="H156" i="20"/>
  <c r="K156" i="20" s="1"/>
  <c r="H155" i="20"/>
  <c r="K155" i="20" s="1"/>
  <c r="H154" i="20"/>
  <c r="K154" i="20" s="1"/>
  <c r="H153" i="20"/>
  <c r="K153" i="20" s="1"/>
  <c r="H152" i="20"/>
  <c r="K152" i="20" s="1"/>
  <c r="H151" i="20"/>
  <c r="K151" i="20" s="1"/>
  <c r="H150" i="20"/>
  <c r="K150" i="20" s="1"/>
  <c r="H149" i="20"/>
  <c r="K149" i="20" s="1"/>
  <c r="H148" i="20"/>
  <c r="K148" i="20" s="1"/>
  <c r="H147" i="20"/>
  <c r="K147" i="20" s="1"/>
  <c r="H146" i="20"/>
  <c r="K146" i="20" s="1"/>
  <c r="H145" i="20"/>
  <c r="K145" i="20" s="1"/>
  <c r="H144" i="20"/>
  <c r="K144" i="20" s="1"/>
  <c r="H143" i="20"/>
  <c r="K143" i="20" s="1"/>
  <c r="H142" i="20"/>
  <c r="K142" i="20" s="1"/>
  <c r="H141" i="20"/>
  <c r="K141" i="20" s="1"/>
  <c r="K140" i="20"/>
  <c r="H139" i="20"/>
  <c r="K139" i="20" s="1"/>
  <c r="H138" i="20"/>
  <c r="K138" i="20" s="1"/>
  <c r="H132" i="20"/>
  <c r="K132" i="20" s="1"/>
  <c r="H131" i="20"/>
  <c r="K131" i="20" s="1"/>
  <c r="H130" i="20"/>
  <c r="K130" i="20" s="1"/>
  <c r="H129" i="20"/>
  <c r="K129" i="20" s="1"/>
  <c r="H128" i="20"/>
  <c r="K128" i="20" s="1"/>
  <c r="H127" i="20"/>
  <c r="K127" i="20" s="1"/>
  <c r="H126" i="20"/>
  <c r="K126" i="20" s="1"/>
  <c r="H125" i="20"/>
  <c r="K125" i="20" s="1"/>
  <c r="H124" i="20"/>
  <c r="K124" i="20" s="1"/>
  <c r="H123" i="20"/>
  <c r="K123" i="20" s="1"/>
  <c r="H122" i="20"/>
  <c r="K122" i="20" s="1"/>
  <c r="H121" i="20"/>
  <c r="K121" i="20" s="1"/>
  <c r="H120" i="20"/>
  <c r="K120" i="20" s="1"/>
  <c r="H119" i="20"/>
  <c r="K119" i="20" s="1"/>
  <c r="H118" i="20"/>
  <c r="K118" i="20" s="1"/>
  <c r="H117" i="20"/>
  <c r="K117" i="20" s="1"/>
  <c r="H116" i="20"/>
  <c r="K116" i="20" s="1"/>
  <c r="H115" i="20"/>
  <c r="K115" i="20" s="1"/>
  <c r="H114" i="20"/>
  <c r="K114" i="20" s="1"/>
  <c r="H113" i="20"/>
  <c r="K113" i="20" s="1"/>
  <c r="H112" i="20"/>
  <c r="K112" i="20" s="1"/>
  <c r="H108" i="20"/>
  <c r="K108" i="20" s="1"/>
  <c r="J107" i="20"/>
  <c r="H107" i="20"/>
  <c r="H106" i="20"/>
  <c r="K106" i="20" s="1"/>
  <c r="H104" i="20"/>
  <c r="K104" i="20" s="1"/>
  <c r="H101" i="20"/>
  <c r="K101" i="20" s="1"/>
  <c r="H100" i="20"/>
  <c r="K100" i="20" s="1"/>
  <c r="H99" i="20"/>
  <c r="K99" i="20" s="1"/>
  <c r="H96" i="20"/>
  <c r="K96" i="20" s="1"/>
  <c r="H93" i="20"/>
  <c r="K93" i="20" s="1"/>
  <c r="H92" i="20"/>
  <c r="K92" i="20" s="1"/>
  <c r="H91" i="20"/>
  <c r="K91" i="20" s="1"/>
  <c r="H90" i="20"/>
  <c r="K90" i="20" s="1"/>
  <c r="H88" i="20"/>
  <c r="K88" i="20" s="1"/>
  <c r="H87" i="20"/>
  <c r="K87" i="20" s="1"/>
  <c r="H86" i="20"/>
  <c r="K86" i="20" s="1"/>
  <c r="H85" i="20"/>
  <c r="K85" i="20" s="1"/>
  <c r="H84" i="20"/>
  <c r="K84" i="20" s="1"/>
  <c r="H83" i="20"/>
  <c r="K83" i="20" s="1"/>
  <c r="H82" i="20"/>
  <c r="K82" i="20" s="1"/>
  <c r="H81" i="20"/>
  <c r="K81" i="20" s="1"/>
  <c r="H80" i="20"/>
  <c r="K80" i="20" s="1"/>
  <c r="H79" i="20"/>
  <c r="K79" i="20" s="1"/>
  <c r="H78" i="20"/>
  <c r="K78" i="20" s="1"/>
  <c r="H77" i="20"/>
  <c r="K77" i="20" s="1"/>
  <c r="H76" i="20"/>
  <c r="K76" i="20" s="1"/>
  <c r="H75" i="20"/>
  <c r="K75" i="20" s="1"/>
  <c r="H74" i="20"/>
  <c r="K74" i="20" s="1"/>
  <c r="H73" i="20"/>
  <c r="K73" i="20" s="1"/>
  <c r="H72" i="20"/>
  <c r="K72" i="20" s="1"/>
  <c r="H71" i="20"/>
  <c r="K71" i="20" s="1"/>
  <c r="H61" i="20"/>
  <c r="K61" i="20" s="1"/>
  <c r="H60" i="20"/>
  <c r="K60" i="20" s="1"/>
  <c r="H59" i="20"/>
  <c r="K59" i="20" s="1"/>
  <c r="H58" i="20"/>
  <c r="K58" i="20" s="1"/>
  <c r="H57" i="20"/>
  <c r="K57" i="20" s="1"/>
  <c r="H56" i="20"/>
  <c r="K56" i="20" s="1"/>
  <c r="H55" i="20"/>
  <c r="K55" i="20" s="1"/>
  <c r="H54" i="20"/>
  <c r="K54" i="20" s="1"/>
  <c r="H53" i="20"/>
  <c r="K53" i="20" s="1"/>
  <c r="H52" i="20"/>
  <c r="K52" i="20" s="1"/>
  <c r="H51" i="20"/>
  <c r="K51" i="20" s="1"/>
  <c r="H50" i="20"/>
  <c r="K50" i="20" s="1"/>
  <c r="H49" i="20"/>
  <c r="K49" i="20" s="1"/>
  <c r="H48" i="20"/>
  <c r="K48" i="20" s="1"/>
  <c r="H47" i="20"/>
  <c r="K47" i="20" s="1"/>
  <c r="H46" i="20"/>
  <c r="K46" i="20" s="1"/>
  <c r="H45" i="20"/>
  <c r="K45" i="20" s="1"/>
  <c r="H44" i="20"/>
  <c r="K44" i="20" s="1"/>
  <c r="H43" i="20"/>
  <c r="K43" i="20" s="1"/>
  <c r="H42" i="20"/>
  <c r="K42" i="20" s="1"/>
  <c r="H41" i="20"/>
  <c r="K41" i="20" s="1"/>
  <c r="H40" i="20"/>
  <c r="K40" i="20" s="1"/>
  <c r="H39" i="20"/>
  <c r="K39" i="20" s="1"/>
  <c r="H38" i="20"/>
  <c r="K38" i="20" s="1"/>
  <c r="H37" i="20"/>
  <c r="K37" i="20" s="1"/>
  <c r="H36" i="20"/>
  <c r="K36" i="20" s="1"/>
  <c r="H35" i="20"/>
  <c r="K35" i="20" s="1"/>
  <c r="H34" i="20"/>
  <c r="K34" i="20" s="1"/>
  <c r="H33" i="20"/>
  <c r="K33" i="20" s="1"/>
  <c r="H32" i="20"/>
  <c r="K32" i="20" s="1"/>
  <c r="H31" i="20"/>
  <c r="K31" i="20" s="1"/>
  <c r="H30" i="20"/>
  <c r="K30" i="20" s="1"/>
  <c r="H29" i="20"/>
  <c r="K29" i="20" s="1"/>
  <c r="H28" i="20"/>
  <c r="K28" i="20" s="1"/>
  <c r="H27" i="20"/>
  <c r="K27" i="20" s="1"/>
  <c r="H26" i="20"/>
  <c r="K26" i="20" s="1"/>
  <c r="H25" i="20"/>
  <c r="K25" i="20" s="1"/>
  <c r="H24" i="20"/>
  <c r="K24" i="20" s="1"/>
  <c r="H23" i="20"/>
  <c r="K23" i="20" s="1"/>
  <c r="H22" i="20"/>
  <c r="K22" i="20" s="1"/>
  <c r="H21" i="20"/>
  <c r="K21" i="20" s="1"/>
  <c r="H20" i="20"/>
  <c r="K20" i="20" s="1"/>
  <c r="H19" i="20"/>
  <c r="K19" i="20" s="1"/>
  <c r="H18" i="20"/>
  <c r="K18" i="20" s="1"/>
  <c r="H17" i="20"/>
  <c r="K17" i="20" s="1"/>
  <c r="H16" i="20"/>
  <c r="K16" i="20" s="1"/>
  <c r="H15" i="20"/>
  <c r="K15" i="20" s="1"/>
  <c r="H14" i="20"/>
  <c r="K14" i="20" s="1"/>
  <c r="H13" i="20"/>
  <c r="K13" i="20" s="1"/>
  <c r="H12" i="20"/>
  <c r="K12" i="20" s="1"/>
  <c r="H11" i="20"/>
  <c r="K11" i="20" s="1"/>
  <c r="H10" i="20"/>
  <c r="K10" i="20" s="1"/>
  <c r="H9" i="20"/>
  <c r="K9" i="20" s="1"/>
  <c r="H8" i="20"/>
  <c r="K8" i="20" s="1"/>
  <c r="H7" i="20"/>
  <c r="K7" i="20" s="1"/>
  <c r="H6" i="20"/>
  <c r="K6" i="20" s="1"/>
  <c r="H5" i="20"/>
  <c r="K5" i="20" s="1"/>
  <c r="H4" i="20"/>
  <c r="K4" i="20" s="1"/>
  <c r="H3" i="20"/>
  <c r="K3" i="20" s="1"/>
  <c r="H24" i="19"/>
  <c r="K24" i="19" s="1"/>
  <c r="H23" i="19"/>
  <c r="K23" i="19" s="1"/>
  <c r="H7" i="19"/>
  <c r="K7" i="19" s="1"/>
  <c r="H6" i="19"/>
  <c r="K6" i="19" s="1"/>
  <c r="H5" i="19"/>
  <c r="K5" i="19" s="1"/>
  <c r="H4" i="19"/>
  <c r="K4" i="19" s="1"/>
  <c r="H3" i="19"/>
  <c r="K3" i="19" s="1"/>
  <c r="H125" i="17"/>
  <c r="K125" i="17" s="1"/>
  <c r="H124" i="17"/>
  <c r="K124" i="17" s="1"/>
  <c r="H123" i="17"/>
  <c r="H122" i="17"/>
  <c r="K122" i="17" s="1"/>
  <c r="H121" i="17"/>
  <c r="K121" i="17" s="1"/>
  <c r="H130" i="17"/>
  <c r="K130" i="17" s="1"/>
  <c r="H118" i="17"/>
  <c r="K118" i="17" s="1"/>
  <c r="H117" i="17"/>
  <c r="K117" i="17" s="1"/>
  <c r="H116" i="17"/>
  <c r="K116" i="17" s="1"/>
  <c r="H114" i="17"/>
  <c r="K114" i="17" s="1"/>
  <c r="H165" i="17"/>
  <c r="K165" i="17" s="1"/>
  <c r="H163" i="17"/>
  <c r="K163" i="17" s="1"/>
  <c r="H162" i="17"/>
  <c r="K162" i="17" s="1"/>
  <c r="H161" i="17"/>
  <c r="K161" i="17" s="1"/>
  <c r="H160" i="17"/>
  <c r="K160" i="17" s="1"/>
  <c r="H159" i="17"/>
  <c r="K159" i="17" s="1"/>
  <c r="H156" i="17"/>
  <c r="K156" i="17" s="1"/>
  <c r="H155" i="17"/>
  <c r="K155" i="17" s="1"/>
  <c r="H154" i="17"/>
  <c r="K154" i="17" s="1"/>
  <c r="H153" i="17"/>
  <c r="K153" i="17" s="1"/>
  <c r="H152" i="17"/>
  <c r="K152" i="17" s="1"/>
  <c r="H151" i="17"/>
  <c r="K151" i="17" s="1"/>
  <c r="H150" i="17"/>
  <c r="K150" i="17" s="1"/>
  <c r="H149" i="17"/>
  <c r="K149" i="17" s="1"/>
  <c r="H148" i="17"/>
  <c r="K148" i="17" s="1"/>
  <c r="H147" i="17"/>
  <c r="K147" i="17" s="1"/>
  <c r="H146" i="17"/>
  <c r="K146" i="17" s="1"/>
  <c r="H145" i="17"/>
  <c r="K145" i="17" s="1"/>
  <c r="H144" i="17"/>
  <c r="K144" i="17" s="1"/>
  <c r="H143" i="17"/>
  <c r="K143" i="17" s="1"/>
  <c r="H142" i="17"/>
  <c r="K142" i="17" s="1"/>
  <c r="H141" i="17"/>
  <c r="K141" i="17" s="1"/>
  <c r="H140" i="17"/>
  <c r="K140" i="17" s="1"/>
  <c r="H139" i="17"/>
  <c r="K139" i="17" s="1"/>
  <c r="K138" i="17"/>
  <c r="H137" i="17"/>
  <c r="K137" i="17" s="1"/>
  <c r="H136" i="17"/>
  <c r="K136" i="17" s="1"/>
  <c r="H129" i="17"/>
  <c r="K129" i="17" s="1"/>
  <c r="H128" i="17"/>
  <c r="K128" i="17" s="1"/>
  <c r="H127" i="17"/>
  <c r="K127" i="17" s="1"/>
  <c r="H126" i="17"/>
  <c r="K126" i="17" s="1"/>
  <c r="K123" i="17"/>
  <c r="H120" i="17"/>
  <c r="K120" i="17" s="1"/>
  <c r="H119" i="17"/>
  <c r="K119" i="17" s="1"/>
  <c r="H115" i="17"/>
  <c r="K115" i="17" s="1"/>
  <c r="H113" i="17"/>
  <c r="K113" i="17" s="1"/>
  <c r="H112" i="17"/>
  <c r="K112" i="17" s="1"/>
  <c r="H111" i="17"/>
  <c r="K111" i="17" s="1"/>
  <c r="H110" i="17"/>
  <c r="K110" i="17" s="1"/>
  <c r="H106" i="17"/>
  <c r="K106" i="17" s="1"/>
  <c r="J105" i="17"/>
  <c r="H105" i="17"/>
  <c r="H104" i="17"/>
  <c r="K104" i="17" s="1"/>
  <c r="H103" i="17"/>
  <c r="K103" i="17" s="1"/>
  <c r="H102" i="17"/>
  <c r="K102" i="17" s="1"/>
  <c r="H99" i="17"/>
  <c r="K99" i="17" s="1"/>
  <c r="H98" i="17"/>
  <c r="K98" i="17" s="1"/>
  <c r="H97" i="17"/>
  <c r="K97" i="17" s="1"/>
  <c r="H96" i="17"/>
  <c r="K96" i="17" s="1"/>
  <c r="H95" i="17"/>
  <c r="K95" i="17" s="1"/>
  <c r="H94" i="17"/>
  <c r="K94" i="17" s="1"/>
  <c r="H93" i="17"/>
  <c r="K93" i="17" s="1"/>
  <c r="H92" i="17"/>
  <c r="K92" i="17" s="1"/>
  <c r="H91" i="17"/>
  <c r="K91" i="17" s="1"/>
  <c r="H90" i="17"/>
  <c r="K90" i="17" s="1"/>
  <c r="H89" i="17"/>
  <c r="K89" i="17" s="1"/>
  <c r="H88" i="17"/>
  <c r="K88" i="17" s="1"/>
  <c r="H87" i="17"/>
  <c r="K87" i="17" s="1"/>
  <c r="H86" i="17"/>
  <c r="K86" i="17" s="1"/>
  <c r="H85" i="17"/>
  <c r="K85" i="17" s="1"/>
  <c r="H84" i="17"/>
  <c r="K84" i="17" s="1"/>
  <c r="H83" i="17"/>
  <c r="K83" i="17" s="1"/>
  <c r="H82" i="17"/>
  <c r="K82" i="17" s="1"/>
  <c r="H81" i="17"/>
  <c r="K81" i="17" s="1"/>
  <c r="H80" i="17"/>
  <c r="K80" i="17" s="1"/>
  <c r="H79" i="17"/>
  <c r="K79" i="17" s="1"/>
  <c r="H78" i="17"/>
  <c r="K78" i="17" s="1"/>
  <c r="H77" i="17"/>
  <c r="K77" i="17" s="1"/>
  <c r="H76" i="17"/>
  <c r="K76" i="17" s="1"/>
  <c r="H75" i="17"/>
  <c r="K75" i="17" s="1"/>
  <c r="H74" i="17"/>
  <c r="K74" i="17" s="1"/>
  <c r="H73" i="17"/>
  <c r="K73" i="17" s="1"/>
  <c r="H72" i="17"/>
  <c r="K72" i="17" s="1"/>
  <c r="H71" i="17"/>
  <c r="K71" i="17" s="1"/>
  <c r="H61" i="17"/>
  <c r="K61" i="17" s="1"/>
  <c r="H60" i="17"/>
  <c r="K60" i="17" s="1"/>
  <c r="H59" i="17"/>
  <c r="K59" i="17" s="1"/>
  <c r="H58" i="17"/>
  <c r="K58" i="17" s="1"/>
  <c r="H57" i="17"/>
  <c r="K57" i="17" s="1"/>
  <c r="H56" i="17"/>
  <c r="K56" i="17" s="1"/>
  <c r="H55" i="17"/>
  <c r="K55" i="17" s="1"/>
  <c r="H54" i="17"/>
  <c r="K54" i="17" s="1"/>
  <c r="H53" i="17"/>
  <c r="K53" i="17" s="1"/>
  <c r="H52" i="17"/>
  <c r="K52" i="17" s="1"/>
  <c r="H51" i="17"/>
  <c r="K51" i="17" s="1"/>
  <c r="H50" i="17"/>
  <c r="K50" i="17" s="1"/>
  <c r="H49" i="17"/>
  <c r="K49" i="17" s="1"/>
  <c r="H48" i="17"/>
  <c r="K48" i="17" s="1"/>
  <c r="H47" i="17"/>
  <c r="K47" i="17" s="1"/>
  <c r="H46" i="17"/>
  <c r="K46" i="17" s="1"/>
  <c r="H45" i="17"/>
  <c r="K45" i="17" s="1"/>
  <c r="H44" i="17"/>
  <c r="K44" i="17" s="1"/>
  <c r="H43" i="17"/>
  <c r="K43" i="17" s="1"/>
  <c r="H42" i="17"/>
  <c r="K42" i="17" s="1"/>
  <c r="H41" i="17"/>
  <c r="K41" i="17" s="1"/>
  <c r="H40" i="17"/>
  <c r="K40" i="17" s="1"/>
  <c r="H39" i="17"/>
  <c r="K39" i="17" s="1"/>
  <c r="H38" i="17"/>
  <c r="K38" i="17" s="1"/>
  <c r="H37" i="17"/>
  <c r="K37" i="17" s="1"/>
  <c r="H36" i="17"/>
  <c r="K36" i="17" s="1"/>
  <c r="H35" i="17"/>
  <c r="K35" i="17" s="1"/>
  <c r="H34" i="17"/>
  <c r="K34" i="17" s="1"/>
  <c r="H33" i="17"/>
  <c r="K33" i="17" s="1"/>
  <c r="H32" i="17"/>
  <c r="K32" i="17" s="1"/>
  <c r="H31" i="17"/>
  <c r="K31" i="17" s="1"/>
  <c r="H30" i="17"/>
  <c r="K30" i="17" s="1"/>
  <c r="H29" i="17"/>
  <c r="K29" i="17" s="1"/>
  <c r="H28" i="17"/>
  <c r="K28" i="17" s="1"/>
  <c r="H27" i="17"/>
  <c r="K27" i="17" s="1"/>
  <c r="H26" i="17"/>
  <c r="K26" i="17" s="1"/>
  <c r="H25" i="17"/>
  <c r="K25" i="17" s="1"/>
  <c r="H24" i="17"/>
  <c r="K24" i="17" s="1"/>
  <c r="H23" i="17"/>
  <c r="K23" i="17" s="1"/>
  <c r="H22" i="17"/>
  <c r="K22" i="17" s="1"/>
  <c r="H21" i="17"/>
  <c r="K21" i="17" s="1"/>
  <c r="H20" i="17"/>
  <c r="K20" i="17" s="1"/>
  <c r="H19" i="17"/>
  <c r="K19" i="17" s="1"/>
  <c r="H18" i="17"/>
  <c r="K18" i="17" s="1"/>
  <c r="H17" i="17"/>
  <c r="K17" i="17" s="1"/>
  <c r="H16" i="17"/>
  <c r="K16" i="17" s="1"/>
  <c r="H15" i="17"/>
  <c r="K15" i="17" s="1"/>
  <c r="H14" i="17"/>
  <c r="K14" i="17" s="1"/>
  <c r="H13" i="17"/>
  <c r="K13" i="17" s="1"/>
  <c r="H12" i="17"/>
  <c r="K12" i="17" s="1"/>
  <c r="H11" i="17"/>
  <c r="K11" i="17" s="1"/>
  <c r="H10" i="17"/>
  <c r="K10" i="17" s="1"/>
  <c r="H9" i="17"/>
  <c r="K9" i="17" s="1"/>
  <c r="H8" i="17"/>
  <c r="K8" i="17" s="1"/>
  <c r="H7" i="17"/>
  <c r="K7" i="17" s="1"/>
  <c r="H6" i="17"/>
  <c r="K6" i="17" s="1"/>
  <c r="H5" i="17"/>
  <c r="K5" i="17" s="1"/>
  <c r="H4" i="17"/>
  <c r="K4" i="17" s="1"/>
  <c r="H3" i="17"/>
  <c r="K3" i="17" s="1"/>
  <c r="K168" i="21" l="1"/>
  <c r="K105" i="21"/>
  <c r="K106" i="21" s="1"/>
  <c r="K107" i="20"/>
  <c r="K109" i="20" s="1"/>
  <c r="K167" i="20"/>
  <c r="K106" i="19"/>
  <c r="K105" i="17"/>
  <c r="K107" i="17" s="1"/>
  <c r="K166" i="17"/>
</calcChain>
</file>

<file path=xl/sharedStrings.xml><?xml version="1.0" encoding="utf-8"?>
<sst xmlns="http://schemas.openxmlformats.org/spreadsheetml/2006/main" count="4492" uniqueCount="264">
  <si>
    <t>Monthly Liquor Inventory</t>
  </si>
  <si>
    <t>Date:</t>
  </si>
  <si>
    <t>SW #</t>
  </si>
  <si>
    <t>Warehouse liquor</t>
  </si>
  <si>
    <t>Twist</t>
  </si>
  <si>
    <t>Canal Bar</t>
  </si>
  <si>
    <t>Canal Liquor Rm</t>
  </si>
  <si>
    <t>SIGNATURE</t>
  </si>
  <si>
    <t>BOURBON</t>
  </si>
  <si>
    <t>Total#</t>
  </si>
  <si>
    <t>Unit</t>
  </si>
  <si>
    <t>Price per bottle</t>
  </si>
  <si>
    <t>Total</t>
  </si>
  <si>
    <t xml:space="preserve">Bombay Saphire  </t>
  </si>
  <si>
    <t>Liter</t>
  </si>
  <si>
    <t>Amaretto Di Saronno</t>
  </si>
  <si>
    <t>Chambord</t>
  </si>
  <si>
    <t>Grand Marnier</t>
  </si>
  <si>
    <t>Kahlua</t>
  </si>
  <si>
    <t>Midori Melon</t>
  </si>
  <si>
    <t>Bailey's</t>
  </si>
  <si>
    <t>Apple Pucker</t>
  </si>
  <si>
    <t>Peach Schnapps</t>
  </si>
  <si>
    <t xml:space="preserve">Dukyper Melon </t>
  </si>
  <si>
    <t>J Walker Black Label</t>
  </si>
  <si>
    <t>Glenlivet</t>
  </si>
  <si>
    <t>Absolut</t>
  </si>
  <si>
    <t xml:space="preserve">Stoli  </t>
  </si>
  <si>
    <t>Liberty Creek Cabernet</t>
  </si>
  <si>
    <t>1.5L Btl</t>
  </si>
  <si>
    <t>Liberty Creek Merlot</t>
  </si>
  <si>
    <t>Remy VSOP</t>
  </si>
  <si>
    <t>Martell VS cognac</t>
  </si>
  <si>
    <t>Mr Boston's RUM</t>
  </si>
  <si>
    <t xml:space="preserve">Bombay Gin Plain  </t>
  </si>
  <si>
    <t xml:space="preserve">Cointreau     </t>
  </si>
  <si>
    <t xml:space="preserve">Dry Vermouth  </t>
  </si>
  <si>
    <t xml:space="preserve">Sweet Vermouth  </t>
  </si>
  <si>
    <t xml:space="preserve">Godiva Chocolate  </t>
  </si>
  <si>
    <t>Choc DBL Dorda</t>
  </si>
  <si>
    <t xml:space="preserve">Blue curacao  </t>
  </si>
  <si>
    <t>Liberty Creek Moscoto</t>
  </si>
  <si>
    <t>Case</t>
  </si>
  <si>
    <t>Liberty Creek Zinfindel</t>
  </si>
  <si>
    <t>Liberty Creek Chardonnay</t>
  </si>
  <si>
    <t>Pinot Grigio</t>
  </si>
  <si>
    <t>Wycliff Champagne</t>
  </si>
  <si>
    <t xml:space="preserve">Rumpleminz  </t>
  </si>
  <si>
    <t>E &amp; J Brandy/ Liter</t>
  </si>
  <si>
    <t xml:space="preserve">Goldschlager  </t>
  </si>
  <si>
    <t>Fireball Whiskey</t>
  </si>
  <si>
    <t>Peppermint Sch.</t>
  </si>
  <si>
    <t>HW Hazelnut</t>
  </si>
  <si>
    <t>Dekuyper Amaretto</t>
  </si>
  <si>
    <t>DIRECT LIQUOR</t>
  </si>
  <si>
    <t>Discontinued</t>
  </si>
  <si>
    <t>Cinnamon Sch.</t>
  </si>
  <si>
    <t>Jagermeister</t>
  </si>
  <si>
    <t>Butterscotch Sch.</t>
  </si>
  <si>
    <t>Rum Chata</t>
  </si>
  <si>
    <t xml:space="preserve">Crème De Banana  </t>
  </si>
  <si>
    <t xml:space="preserve">El Jimador Blanco  </t>
  </si>
  <si>
    <t xml:space="preserve">Don Julio Blanco  </t>
  </si>
  <si>
    <t xml:space="preserve">Belvedere Vodka  </t>
  </si>
  <si>
    <t>Georgia Peach Vodka</t>
  </si>
  <si>
    <t>360 Bing Cherry</t>
  </si>
  <si>
    <t>360 Grape</t>
  </si>
  <si>
    <t>360 Huckleberry</t>
  </si>
  <si>
    <t>360 Mandarin</t>
  </si>
  <si>
    <t>360 Red Raspberry</t>
  </si>
  <si>
    <t>360 Madagascar Van</t>
  </si>
  <si>
    <t>360 Sorrento Lemon</t>
  </si>
  <si>
    <t>American Honey</t>
  </si>
  <si>
    <t>Old Charter Whiskey</t>
  </si>
  <si>
    <t>Crown Vanilla</t>
  </si>
  <si>
    <t>Crown Apple</t>
  </si>
  <si>
    <t>Crown Peach</t>
  </si>
  <si>
    <t>Seagrams VO</t>
  </si>
  <si>
    <t xml:space="preserve">Gentleman Jack  </t>
  </si>
  <si>
    <t>Skrewball</t>
  </si>
  <si>
    <t>No Longer order</t>
  </si>
  <si>
    <t>Crème De Cacoa</t>
  </si>
  <si>
    <t>Bol's Peach Schnapps</t>
  </si>
  <si>
    <t>Direct Purchase Liquor 1.75L</t>
  </si>
  <si>
    <t>Hennessey Cognac</t>
  </si>
  <si>
    <t>1.75L-6/case</t>
  </si>
  <si>
    <t>Mr. Boston 5 Star Brandy</t>
  </si>
  <si>
    <t>Mr Boston Triple Sec</t>
  </si>
  <si>
    <t>HW Amaretto</t>
  </si>
  <si>
    <t xml:space="preserve">Cruzan Dark Rum </t>
  </si>
  <si>
    <t>Deuces Wild Gin</t>
  </si>
  <si>
    <t>Tanqueray Gin</t>
  </si>
  <si>
    <t>Kamora</t>
  </si>
  <si>
    <t>Malibu Coconut Rum</t>
  </si>
  <si>
    <t>Mr Bostons Rum</t>
  </si>
  <si>
    <t>Bacardi Rum</t>
  </si>
  <si>
    <t>Captain Morgan Rum</t>
  </si>
  <si>
    <t>Inver House Scotch</t>
  </si>
  <si>
    <t>El Toro Gold Tequila</t>
  </si>
  <si>
    <t>Patron</t>
  </si>
  <si>
    <t>1.75-3/ca</t>
  </si>
  <si>
    <t>Grey Goose Vodka</t>
  </si>
  <si>
    <t>Mr Bostons Vodka</t>
  </si>
  <si>
    <t xml:space="preserve">Barton's Vodka </t>
  </si>
  <si>
    <t>Tito's 1.75L</t>
  </si>
  <si>
    <t xml:space="preserve">Jack Daniels Whiskey </t>
  </si>
  <si>
    <t>Crown Whiskey</t>
  </si>
  <si>
    <t>Wild Turkey</t>
  </si>
  <si>
    <t xml:space="preserve">Maker's Mark (1 L) </t>
  </si>
  <si>
    <t>Ten High bourbon</t>
  </si>
  <si>
    <t>DeKuyper Amaretto</t>
  </si>
  <si>
    <t>Total liquor</t>
  </si>
  <si>
    <t>BEER BOTTLES</t>
  </si>
  <si>
    <t>Price per case</t>
  </si>
  <si>
    <t>Bud</t>
  </si>
  <si>
    <t>Bud Light</t>
  </si>
  <si>
    <t>Mich Ultra</t>
  </si>
  <si>
    <t>Stella Artois</t>
  </si>
  <si>
    <t>Busch Light</t>
  </si>
  <si>
    <t>Corona</t>
  </si>
  <si>
    <t>Corona Premium</t>
  </si>
  <si>
    <t>TrulyPineapp</t>
  </si>
  <si>
    <t>TrulyStraw</t>
  </si>
  <si>
    <t>VIZZY Blue/Pom</t>
  </si>
  <si>
    <t>Coors Light</t>
  </si>
  <si>
    <t>Miller Light</t>
  </si>
  <si>
    <t>Angry Orchard</t>
  </si>
  <si>
    <t>Blvd Pale Ale</t>
  </si>
  <si>
    <t>Tank 7</t>
  </si>
  <si>
    <t>Heineken</t>
  </si>
  <si>
    <t>CoorsEdge</t>
  </si>
  <si>
    <t>Beer CASES</t>
  </si>
  <si>
    <t>KEGS</t>
  </si>
  <si>
    <t>Price per keg</t>
  </si>
  <si>
    <t>Keg</t>
  </si>
  <si>
    <t>Blue Moon</t>
  </si>
  <si>
    <t>Blvd Wheat</t>
  </si>
  <si>
    <t>Peroni</t>
  </si>
  <si>
    <t xml:space="preserve">      Total Beer</t>
  </si>
  <si>
    <t>Michelob Ultra</t>
  </si>
  <si>
    <t>Yuengling</t>
  </si>
  <si>
    <t>Bellows Vodka 1l</t>
  </si>
  <si>
    <t>Jameson</t>
  </si>
  <si>
    <t>Lagunitas</t>
  </si>
  <si>
    <t>Modelo</t>
  </si>
  <si>
    <t>Seagrams 7 Whiskey (1.75 L)</t>
  </si>
  <si>
    <t>Garage Beer</t>
  </si>
  <si>
    <t>Woodford Reserve</t>
  </si>
  <si>
    <t>Sale price purchases 30 cases at 239.95 Regular price $273.55</t>
  </si>
  <si>
    <t>Tito's liter</t>
  </si>
  <si>
    <t>Bellows Gin 1l</t>
  </si>
  <si>
    <t>Bellows Gin</t>
  </si>
  <si>
    <t xml:space="preserve">BOLS Crème De Banana  </t>
  </si>
  <si>
    <t>2026 price increase</t>
  </si>
  <si>
    <t>High Noon</t>
  </si>
  <si>
    <t>Beer KEGS</t>
  </si>
  <si>
    <t>Mr. Boston Vodka</t>
  </si>
  <si>
    <t>BEER BOTTLES/CANS</t>
  </si>
  <si>
    <t>High Noon Blue/Lemon</t>
  </si>
  <si>
    <t>Saphire Bomb</t>
  </si>
  <si>
    <t>Di Amarro</t>
  </si>
  <si>
    <t>Cambo</t>
  </si>
  <si>
    <t>Grand Marina</t>
  </si>
  <si>
    <t>Aloha</t>
  </si>
  <si>
    <t>BomBom</t>
  </si>
  <si>
    <t>Green App</t>
  </si>
  <si>
    <t>Sheek Peach</t>
  </si>
  <si>
    <t>Kyelon</t>
  </si>
  <si>
    <t>Walk up</t>
  </si>
  <si>
    <t>Great Gainer</t>
  </si>
  <si>
    <t>Solution</t>
  </si>
  <si>
    <t>Oli Orange</t>
  </si>
  <si>
    <t>Peak Cab</t>
  </si>
  <si>
    <t>Fancy Cognac</t>
  </si>
  <si>
    <t>Coins</t>
  </si>
  <si>
    <t>Dry brandy</t>
  </si>
  <si>
    <t>Sweet brandy</t>
  </si>
  <si>
    <t>Chocoholic</t>
  </si>
  <si>
    <t>Blueberry</t>
  </si>
  <si>
    <t>Grand Cab</t>
  </si>
  <si>
    <t>Grand Zin</t>
  </si>
  <si>
    <t>Grand Chard</t>
  </si>
  <si>
    <t>Peak Grape</t>
  </si>
  <si>
    <t>Wild Champagne</t>
  </si>
  <si>
    <t>Trouble Mint</t>
  </si>
  <si>
    <t>Grey Logger</t>
  </si>
  <si>
    <t>Fireshark</t>
  </si>
  <si>
    <t>Peppy Pup</t>
  </si>
  <si>
    <t>Hazey Walk</t>
  </si>
  <si>
    <t>Marshmallow Milk</t>
  </si>
  <si>
    <t>Cinn O Mike</t>
  </si>
  <si>
    <t>Juicy Jo</t>
  </si>
  <si>
    <t>Butter Bitz</t>
  </si>
  <si>
    <t>Cha Cha Chaming</t>
  </si>
  <si>
    <t>Banana Bandana</t>
  </si>
  <si>
    <t>Binini vodka</t>
  </si>
  <si>
    <t>Julian Tequila</t>
  </si>
  <si>
    <t>Blanco Tequila</t>
  </si>
  <si>
    <t>Blue vine vodka</t>
  </si>
  <si>
    <t>Cherry Rain Vodka</t>
  </si>
  <si>
    <t>Sublime Vodka</t>
  </si>
  <si>
    <t>Hue Vodka</t>
  </si>
  <si>
    <t>Manidore Vodka</t>
  </si>
  <si>
    <t>Rowdy Red Vodka</t>
  </si>
  <si>
    <t>Simple Vanilla Vodka</t>
  </si>
  <si>
    <t>Lemonade Vodka</t>
  </si>
  <si>
    <t>Sweet Whiskey</t>
  </si>
  <si>
    <t>Carthouse Whiskey</t>
  </si>
  <si>
    <t>Manuka Vanilla</t>
  </si>
  <si>
    <t>Manuka Apple</t>
  </si>
  <si>
    <t>Manuka Peach</t>
  </si>
  <si>
    <t>Von Gran</t>
  </si>
  <si>
    <t>Jackman Black</t>
  </si>
  <si>
    <t>Main Martel</t>
  </si>
  <si>
    <t>Peanut Butter Cup</t>
  </si>
  <si>
    <t>Crème Liquor</t>
  </si>
  <si>
    <t>Sweet Cognac</t>
  </si>
  <si>
    <t>Bon Bon Brandy</t>
  </si>
  <si>
    <t>Boom Town Triple Sec</t>
  </si>
  <si>
    <t>Great Perinese Amaretto</t>
  </si>
  <si>
    <t xml:space="preserve">Crème Brule  Rum </t>
  </si>
  <si>
    <t>Bonkers Gin</t>
  </si>
  <si>
    <t>Blueblack Gin</t>
  </si>
  <si>
    <t>Morango</t>
  </si>
  <si>
    <t>Martins Coco Rum</t>
  </si>
  <si>
    <t>Captian Steve's Rum</t>
  </si>
  <si>
    <t>Jackie's Rum</t>
  </si>
  <si>
    <t>Bon Voyage Rum</t>
  </si>
  <si>
    <t>Gideon's Gold Tequila</t>
  </si>
  <si>
    <t>Patriot</t>
  </si>
  <si>
    <t>Frank's Five Vodka</t>
  </si>
  <si>
    <t>Bluebird Vodka</t>
  </si>
  <si>
    <t>Barcelona Whiskey</t>
  </si>
  <si>
    <t>Robin Whiskey</t>
  </si>
  <si>
    <t xml:space="preserve">Oregono Whiskey </t>
  </si>
  <si>
    <t>Seattle Whiskey (1.75 L)</t>
  </si>
  <si>
    <t>Twenty Two bourbon</t>
  </si>
  <si>
    <t>Jamestown Whisky</t>
  </si>
  <si>
    <t>Francis Amaretto</t>
  </si>
  <si>
    <t>Bluetown</t>
  </si>
  <si>
    <t>Bluetown Light</t>
  </si>
  <si>
    <t>Mickey's Ultra</t>
  </si>
  <si>
    <t>Singleton</t>
  </si>
  <si>
    <t>Boxcar Light</t>
  </si>
  <si>
    <t>Cora</t>
  </si>
  <si>
    <t>Cora Extra</t>
  </si>
  <si>
    <t>Manny's</t>
  </si>
  <si>
    <t>Seltzy Green</t>
  </si>
  <si>
    <t>Pomagranite Seltzy</t>
  </si>
  <si>
    <t>Seltzy Blue</t>
  </si>
  <si>
    <t>Keepers Light</t>
  </si>
  <si>
    <t>Monty's Light</t>
  </si>
  <si>
    <t>Apple Orchard</t>
  </si>
  <si>
    <t>Promise Ale</t>
  </si>
  <si>
    <t>Tangerine 5</t>
  </si>
  <si>
    <t>Loggers Special</t>
  </si>
  <si>
    <t>Bonvanita</t>
  </si>
  <si>
    <t>Harry's</t>
  </si>
  <si>
    <t>Cool Breeze</t>
  </si>
  <si>
    <t>Angry Dog</t>
  </si>
  <si>
    <t>Peppy Peet</t>
  </si>
  <si>
    <t>Moon Over Miami</t>
  </si>
  <si>
    <t>Wheat Stalks</t>
  </si>
  <si>
    <t>YingYang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</si>
</sst>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/d/yy;@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8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0" fillId="0" borderId="10" xfId="0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8" fontId="0" fillId="0" borderId="10" xfId="0" applyNumberFormat="1" applyBorder="1"/>
    <xf numFmtId="0" fontId="0" fillId="0" borderId="14" xfId="0" applyBorder="1"/>
    <xf numFmtId="0" fontId="0" fillId="2" borderId="14" xfId="0" applyFill="1" applyBorder="1"/>
    <xf numFmtId="0" fontId="0" fillId="2" borderId="15" xfId="0" applyFill="1" applyBorder="1"/>
    <xf numFmtId="8" fontId="0" fillId="0" borderId="14" xfId="0" applyNumberFormat="1" applyBorder="1"/>
    <xf numFmtId="0" fontId="0" fillId="0" borderId="14" xfId="0" applyBorder="1" applyAlignment="1">
      <alignment wrapText="1"/>
    </xf>
    <xf numFmtId="8" fontId="0" fillId="3" borderId="14" xfId="0" applyNumberFormat="1" applyFill="1" applyBorder="1"/>
    <xf numFmtId="0" fontId="0" fillId="4" borderId="14" xfId="0" applyFill="1" applyBorder="1"/>
    <xf numFmtId="8" fontId="0" fillId="4" borderId="14" xfId="0" applyNumberFormat="1" applyFill="1" applyBorder="1"/>
    <xf numFmtId="8" fontId="0" fillId="4" borderId="10" xfId="0" applyNumberFormat="1" applyFill="1" applyBorder="1"/>
    <xf numFmtId="0" fontId="0" fillId="3" borderId="14" xfId="0" applyFill="1" applyBorder="1" applyAlignment="1">
      <alignment wrapText="1"/>
    </xf>
    <xf numFmtId="0" fontId="0" fillId="5" borderId="14" xfId="0" applyFill="1" applyBorder="1"/>
    <xf numFmtId="0" fontId="8" fillId="0" borderId="16" xfId="0" applyFont="1" applyBorder="1"/>
    <xf numFmtId="0" fontId="1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7" xfId="0" applyBorder="1"/>
    <xf numFmtId="0" fontId="8" fillId="0" borderId="14" xfId="0" applyFont="1" applyBorder="1"/>
    <xf numFmtId="0" fontId="0" fillId="2" borderId="14" xfId="0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5" xfId="0" applyFill="1" applyBorder="1" applyAlignment="1">
      <alignment horizontal="center"/>
    </xf>
    <xf numFmtId="0" fontId="2" fillId="5" borderId="5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0" fillId="5" borderId="15" xfId="0" applyFill="1" applyBorder="1"/>
    <xf numFmtId="0" fontId="8" fillId="0" borderId="13" xfId="0" applyFont="1" applyBorder="1"/>
    <xf numFmtId="0" fontId="0" fillId="0" borderId="10" xfId="0" applyBorder="1" applyAlignment="1">
      <alignment wrapText="1"/>
    </xf>
    <xf numFmtId="0" fontId="0" fillId="5" borderId="10" xfId="0" applyFill="1" applyBorder="1"/>
    <xf numFmtId="0" fontId="0" fillId="5" borderId="11" xfId="0" applyFill="1" applyBorder="1"/>
    <xf numFmtId="0" fontId="9" fillId="4" borderId="0" xfId="0" applyFont="1" applyFill="1"/>
    <xf numFmtId="0" fontId="12" fillId="0" borderId="5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5" fontId="0" fillId="0" borderId="10" xfId="0" applyNumberFormat="1" applyBorder="1"/>
    <xf numFmtId="165" fontId="0" fillId="0" borderId="14" xfId="0" applyNumberFormat="1" applyBorder="1"/>
    <xf numFmtId="165" fontId="0" fillId="4" borderId="0" xfId="0" applyNumberFormat="1" applyFill="1"/>
    <xf numFmtId="0" fontId="2" fillId="5" borderId="5" xfId="0" applyFont="1" applyFill="1" applyBorder="1" applyAlignment="1">
      <alignment horizontal="center"/>
    </xf>
    <xf numFmtId="0" fontId="0" fillId="2" borderId="18" xfId="0" applyFill="1" applyBorder="1"/>
    <xf numFmtId="0" fontId="0" fillId="2" borderId="19" xfId="0" applyFill="1" applyBorder="1"/>
    <xf numFmtId="165" fontId="0" fillId="0" borderId="18" xfId="0" applyNumberFormat="1" applyBorder="1"/>
    <xf numFmtId="0" fontId="5" fillId="2" borderId="6" xfId="0" applyFont="1" applyFill="1" applyBorder="1" applyAlignment="1">
      <alignment horizontal="center"/>
    </xf>
    <xf numFmtId="0" fontId="9" fillId="0" borderId="0" xfId="0" applyFont="1"/>
    <xf numFmtId="0" fontId="12" fillId="0" borderId="0" xfId="0" applyFont="1"/>
    <xf numFmtId="0" fontId="3" fillId="7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left"/>
    </xf>
    <xf numFmtId="0" fontId="2" fillId="0" borderId="25" xfId="0" applyFont="1" applyBorder="1" applyAlignment="1">
      <alignment horizontal="center" wrapText="1"/>
    </xf>
    <xf numFmtId="0" fontId="2" fillId="0" borderId="27" xfId="0" applyFont="1" applyBorder="1" applyAlignment="1">
      <alignment horizontal="center"/>
    </xf>
    <xf numFmtId="0" fontId="8" fillId="0" borderId="29" xfId="0" applyFont="1" applyBorder="1"/>
    <xf numFmtId="0" fontId="0" fillId="4" borderId="14" xfId="0" applyFill="1" applyBorder="1" applyAlignment="1">
      <alignment wrapText="1"/>
    </xf>
    <xf numFmtId="0" fontId="2" fillId="0" borderId="4" xfId="0" applyFont="1" applyBorder="1" applyAlignment="1">
      <alignment horizontal="right"/>
    </xf>
    <xf numFmtId="0" fontId="2" fillId="0" borderId="24" xfId="0" applyFont="1" applyBorder="1" applyAlignment="1">
      <alignment horizontal="right"/>
    </xf>
    <xf numFmtId="0" fontId="0" fillId="7" borderId="14" xfId="0" applyFill="1" applyBorder="1"/>
    <xf numFmtId="0" fontId="0" fillId="2" borderId="32" xfId="0" applyFill="1" applyBorder="1"/>
    <xf numFmtId="0" fontId="0" fillId="2" borderId="33" xfId="0" applyFill="1" applyBorder="1"/>
    <xf numFmtId="0" fontId="0" fillId="0" borderId="32" xfId="0" applyBorder="1"/>
    <xf numFmtId="0" fontId="0" fillId="0" borderId="36" xfId="0" applyBorder="1" applyAlignment="1">
      <alignment horizontal="right"/>
    </xf>
    <xf numFmtId="8" fontId="0" fillId="0" borderId="37" xfId="0" applyNumberFormat="1" applyBorder="1"/>
    <xf numFmtId="8" fontId="0" fillId="0" borderId="38" xfId="0" applyNumberFormat="1" applyBorder="1"/>
    <xf numFmtId="0" fontId="0" fillId="2" borderId="40" xfId="0" applyFill="1" applyBorder="1"/>
    <xf numFmtId="0" fontId="0" fillId="2" borderId="41" xfId="0" applyFill="1" applyBorder="1"/>
    <xf numFmtId="8" fontId="0" fillId="0" borderId="43" xfId="0" applyNumberFormat="1" applyBorder="1"/>
    <xf numFmtId="0" fontId="0" fillId="4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22" xfId="0" applyBorder="1"/>
    <xf numFmtId="0" fontId="13" fillId="4" borderId="10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0" fillId="4" borderId="0" xfId="0" applyFill="1" applyAlignment="1">
      <alignment horizontal="right" vertical="center"/>
    </xf>
    <xf numFmtId="0" fontId="14" fillId="4" borderId="0" xfId="0" applyFont="1" applyFill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7" borderId="10" xfId="0" applyFill="1" applyBorder="1"/>
    <xf numFmtId="0" fontId="0" fillId="7" borderId="18" xfId="0" applyFill="1" applyBorder="1"/>
    <xf numFmtId="0" fontId="13" fillId="6" borderId="10" xfId="0" applyFont="1" applyFill="1" applyBorder="1" applyAlignment="1">
      <alignment horizontal="left" vertical="center" wrapText="1"/>
    </xf>
    <xf numFmtId="0" fontId="13" fillId="6" borderId="18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/>
    </xf>
    <xf numFmtId="0" fontId="8" fillId="4" borderId="16" xfId="0" applyFont="1" applyFill="1" applyBorder="1"/>
    <xf numFmtId="0" fontId="8" fillId="4" borderId="16" xfId="0" applyFont="1" applyFill="1" applyBorder="1" applyAlignment="1">
      <alignment horizontal="left"/>
    </xf>
    <xf numFmtId="0" fontId="8" fillId="3" borderId="16" xfId="0" applyFont="1" applyFill="1" applyBorder="1"/>
    <xf numFmtId="0" fontId="0" fillId="0" borderId="23" xfId="0" applyBorder="1"/>
    <xf numFmtId="0" fontId="8" fillId="0" borderId="36" xfId="0" applyFont="1" applyBorder="1" applyAlignment="1">
      <alignment horizontal="right"/>
    </xf>
    <xf numFmtId="0" fontId="0" fillId="0" borderId="40" xfId="0" applyBorder="1" applyAlignment="1">
      <alignment wrapText="1"/>
    </xf>
    <xf numFmtId="0" fontId="8" fillId="0" borderId="42" xfId="0" applyFont="1" applyBorder="1" applyAlignment="1">
      <alignment horizontal="left"/>
    </xf>
    <xf numFmtId="0" fontId="0" fillId="0" borderId="44" xfId="0" applyBorder="1" applyAlignment="1">
      <alignment horizontal="right"/>
    </xf>
    <xf numFmtId="0" fontId="0" fillId="4" borderId="36" xfId="0" applyFill="1" applyBorder="1" applyAlignment="1">
      <alignment horizontal="right"/>
    </xf>
    <xf numFmtId="8" fontId="0" fillId="4" borderId="37" xfId="0" applyNumberFormat="1" applyFill="1" applyBorder="1"/>
    <xf numFmtId="0" fontId="16" fillId="4" borderId="36" xfId="0" applyFont="1" applyFill="1" applyBorder="1" applyAlignment="1">
      <alignment horizontal="right"/>
    </xf>
    <xf numFmtId="0" fontId="16" fillId="4" borderId="39" xfId="0" applyFont="1" applyFill="1" applyBorder="1" applyAlignment="1">
      <alignment horizontal="right"/>
    </xf>
    <xf numFmtId="0" fontId="0" fillId="5" borderId="40" xfId="0" applyFill="1" applyBorder="1"/>
    <xf numFmtId="0" fontId="0" fillId="0" borderId="44" xfId="0" applyBorder="1" applyAlignment="1">
      <alignment horizontal="right" vertical="center"/>
    </xf>
    <xf numFmtId="165" fontId="0" fillId="0" borderId="38" xfId="0" applyNumberFormat="1" applyBorder="1"/>
    <xf numFmtId="0" fontId="0" fillId="0" borderId="36" xfId="0" applyBorder="1" applyAlignment="1">
      <alignment horizontal="right" vertical="center"/>
    </xf>
    <xf numFmtId="165" fontId="0" fillId="0" borderId="37" xfId="0" applyNumberFormat="1" applyBorder="1"/>
    <xf numFmtId="0" fontId="0" fillId="0" borderId="45" xfId="0" applyBorder="1" applyAlignment="1">
      <alignment horizontal="right" vertical="center"/>
    </xf>
    <xf numFmtId="0" fontId="0" fillId="0" borderId="39" xfId="0" applyBorder="1" applyAlignment="1">
      <alignment horizontal="right" vertical="center"/>
    </xf>
    <xf numFmtId="0" fontId="13" fillId="6" borderId="40" xfId="0" applyFont="1" applyFill="1" applyBorder="1" applyAlignment="1">
      <alignment horizontal="left" vertical="center" wrapText="1"/>
    </xf>
    <xf numFmtId="165" fontId="0" fillId="0" borderId="40" xfId="0" applyNumberFormat="1" applyBorder="1"/>
    <xf numFmtId="165" fontId="0" fillId="0" borderId="43" xfId="0" applyNumberFormat="1" applyBorder="1"/>
    <xf numFmtId="165" fontId="0" fillId="0" borderId="46" xfId="0" applyNumberFormat="1" applyBorder="1"/>
    <xf numFmtId="0" fontId="0" fillId="7" borderId="40" xfId="0" applyFill="1" applyBorder="1"/>
    <xf numFmtId="0" fontId="0" fillId="0" borderId="28" xfId="0" applyBorder="1"/>
    <xf numFmtId="0" fontId="16" fillId="0" borderId="36" xfId="0" applyFont="1" applyBorder="1" applyAlignment="1">
      <alignment horizontal="right" vertical="center"/>
    </xf>
    <xf numFmtId="0" fontId="16" fillId="0" borderId="39" xfId="0" applyFont="1" applyBorder="1" applyAlignment="1">
      <alignment horizontal="right" vertical="center"/>
    </xf>
    <xf numFmtId="0" fontId="13" fillId="4" borderId="40" xfId="0" applyFont="1" applyFill="1" applyBorder="1" applyAlignment="1">
      <alignment horizontal="left" vertical="center"/>
    </xf>
    <xf numFmtId="0" fontId="0" fillId="0" borderId="29" xfId="0" applyBorder="1"/>
    <xf numFmtId="165" fontId="0" fillId="0" borderId="30" xfId="0" applyNumberFormat="1" applyBorder="1"/>
    <xf numFmtId="8" fontId="10" fillId="4" borderId="0" xfId="0" applyNumberFormat="1" applyFont="1" applyFill="1"/>
    <xf numFmtId="8" fontId="11" fillId="0" borderId="0" xfId="0" applyNumberFormat="1" applyFont="1"/>
    <xf numFmtId="0" fontId="0" fillId="3" borderId="36" xfId="0" applyFill="1" applyBorder="1" applyAlignment="1">
      <alignment horizontal="right"/>
    </xf>
    <xf numFmtId="8" fontId="0" fillId="3" borderId="37" xfId="0" applyNumberFormat="1" applyFill="1" applyBorder="1"/>
    <xf numFmtId="8" fontId="0" fillId="4" borderId="38" xfId="0" applyNumberFormat="1" applyFill="1" applyBorder="1"/>
    <xf numFmtId="8" fontId="0" fillId="3" borderId="38" xfId="0" applyNumberFormat="1" applyFill="1" applyBorder="1"/>
    <xf numFmtId="0" fontId="8" fillId="0" borderId="14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165" fontId="11" fillId="0" borderId="0" xfId="0" applyNumberFormat="1" applyFont="1"/>
    <xf numFmtId="0" fontId="0" fillId="7" borderId="1" xfId="0" applyFill="1" applyBorder="1" applyAlignment="1">
      <alignment horizontal="right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right"/>
    </xf>
    <xf numFmtId="14" fontId="2" fillId="7" borderId="2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8" fontId="2" fillId="7" borderId="3" xfId="0" applyNumberFormat="1" applyFont="1" applyFill="1" applyBorder="1"/>
    <xf numFmtId="0" fontId="0" fillId="7" borderId="47" xfId="0" applyFill="1" applyBorder="1" applyAlignment="1">
      <alignment horizontal="right"/>
    </xf>
    <xf numFmtId="0" fontId="2" fillId="7" borderId="0" xfId="0" applyFont="1" applyFill="1"/>
    <xf numFmtId="0" fontId="2" fillId="7" borderId="0" xfId="0" applyFont="1" applyFill="1" applyAlignment="1">
      <alignment horizontal="right"/>
    </xf>
    <xf numFmtId="14" fontId="2" fillId="7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8" fontId="2" fillId="7" borderId="48" xfId="0" applyNumberFormat="1" applyFont="1" applyFill="1" applyBorder="1"/>
    <xf numFmtId="0" fontId="2" fillId="7" borderId="5" xfId="0" applyFont="1" applyFill="1" applyBorder="1" applyAlignment="1">
      <alignment horizontal="center" wrapText="1"/>
    </xf>
    <xf numFmtId="0" fontId="0" fillId="0" borderId="31" xfId="0" applyBorder="1" applyAlignment="1">
      <alignment horizontal="right" vertical="center"/>
    </xf>
    <xf numFmtId="0" fontId="13" fillId="0" borderId="32" xfId="0" applyFont="1" applyBorder="1" applyAlignment="1">
      <alignment horizontal="left" vertical="center"/>
    </xf>
    <xf numFmtId="0" fontId="0" fillId="5" borderId="32" xfId="0" applyFill="1" applyBorder="1"/>
    <xf numFmtId="0" fontId="0" fillId="7" borderId="32" xfId="0" applyFill="1" applyBorder="1"/>
    <xf numFmtId="0" fontId="0" fillId="0" borderId="34" xfId="0" applyBorder="1"/>
    <xf numFmtId="165" fontId="0" fillId="0" borderId="32" xfId="0" applyNumberFormat="1" applyBorder="1"/>
    <xf numFmtId="165" fontId="0" fillId="0" borderId="35" xfId="0" applyNumberFormat="1" applyBorder="1"/>
    <xf numFmtId="0" fontId="16" fillId="5" borderId="36" xfId="0" applyFont="1" applyFill="1" applyBorder="1" applyAlignment="1">
      <alignment horizontal="right" vertical="center"/>
    </xf>
    <xf numFmtId="0" fontId="13" fillId="5" borderId="14" xfId="0" applyFont="1" applyFill="1" applyBorder="1" applyAlignment="1">
      <alignment horizontal="left" vertical="center"/>
    </xf>
    <xf numFmtId="0" fontId="0" fillId="5" borderId="12" xfId="0" applyFill="1" applyBorder="1"/>
    <xf numFmtId="0" fontId="0" fillId="5" borderId="13" xfId="0" applyFill="1" applyBorder="1"/>
    <xf numFmtId="165" fontId="0" fillId="5" borderId="14" xfId="0" applyNumberFormat="1" applyFill="1" applyBorder="1"/>
    <xf numFmtId="165" fontId="0" fillId="5" borderId="38" xfId="0" applyNumberFormat="1" applyFill="1" applyBorder="1"/>
    <xf numFmtId="8" fontId="7" fillId="4" borderId="38" xfId="0" applyNumberFormat="1" applyFont="1" applyFill="1" applyBorder="1"/>
    <xf numFmtId="8" fontId="0" fillId="4" borderId="40" xfId="0" applyNumberFormat="1" applyFill="1" applyBorder="1"/>
    <xf numFmtId="0" fontId="0" fillId="4" borderId="44" xfId="0" applyFill="1" applyBorder="1" applyAlignment="1">
      <alignment horizontal="right"/>
    </xf>
    <xf numFmtId="0" fontId="1" fillId="4" borderId="10" xfId="0" applyFont="1" applyFill="1" applyBorder="1"/>
    <xf numFmtId="0" fontId="8" fillId="4" borderId="13" xfId="0" applyFont="1" applyFill="1" applyBorder="1"/>
    <xf numFmtId="0" fontId="2" fillId="4" borderId="0" xfId="0" applyFont="1" applyFill="1" applyAlignment="1">
      <alignment horizontal="right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0" fillId="7" borderId="49" xfId="0" applyFill="1" applyBorder="1" applyAlignment="1">
      <alignment horizontal="right"/>
    </xf>
    <xf numFmtId="0" fontId="2" fillId="7" borderId="50" xfId="0" applyFont="1" applyFill="1" applyBorder="1"/>
    <xf numFmtId="0" fontId="2" fillId="7" borderId="50" xfId="0" applyFont="1" applyFill="1" applyBorder="1" applyAlignment="1">
      <alignment horizontal="right"/>
    </xf>
    <xf numFmtId="14" fontId="2" fillId="7" borderId="50" xfId="0" applyNumberFormat="1" applyFont="1" applyFill="1" applyBorder="1" applyAlignment="1">
      <alignment horizontal="center"/>
    </xf>
    <xf numFmtId="164" fontId="4" fillId="7" borderId="50" xfId="0" applyNumberFormat="1" applyFont="1" applyFill="1" applyBorder="1" applyAlignment="1">
      <alignment horizontal="center"/>
    </xf>
    <xf numFmtId="8" fontId="2" fillId="7" borderId="51" xfId="0" applyNumberFormat="1" applyFont="1" applyFill="1" applyBorder="1"/>
    <xf numFmtId="0" fontId="13" fillId="4" borderId="32" xfId="0" applyFont="1" applyFill="1" applyBorder="1" applyAlignment="1">
      <alignment horizontal="left" vertical="center" wrapText="1"/>
    </xf>
    <xf numFmtId="0" fontId="8" fillId="0" borderId="32" xfId="0" applyFont="1" applyBorder="1" applyAlignment="1">
      <alignment horizontal="left"/>
    </xf>
    <xf numFmtId="0" fontId="2" fillId="7" borderId="5" xfId="0" applyFont="1" applyFill="1" applyBorder="1" applyAlignment="1">
      <alignment horizontal="center"/>
    </xf>
    <xf numFmtId="0" fontId="0" fillId="0" borderId="25" xfId="0" applyBorder="1"/>
    <xf numFmtId="0" fontId="0" fillId="3" borderId="10" xfId="0" applyFill="1" applyBorder="1"/>
    <xf numFmtId="0" fontId="0" fillId="3" borderId="11" xfId="0" applyFill="1" applyBorder="1"/>
    <xf numFmtId="0" fontId="0" fillId="0" borderId="21" xfId="0" applyBorder="1"/>
    <xf numFmtId="0" fontId="6" fillId="0" borderId="44" xfId="0" applyFont="1" applyBorder="1" applyAlignment="1">
      <alignment horizontal="right"/>
    </xf>
    <xf numFmtId="0" fontId="0" fillId="0" borderId="52" xfId="0" applyBorder="1" applyAlignment="1">
      <alignment horizontal="right" vertical="center"/>
    </xf>
    <xf numFmtId="0" fontId="13" fillId="6" borderId="28" xfId="0" applyFont="1" applyFill="1" applyBorder="1" applyAlignment="1">
      <alignment horizontal="left" vertical="center" wrapText="1"/>
    </xf>
    <xf numFmtId="0" fontId="0" fillId="7" borderId="28" xfId="0" applyFill="1" applyBorder="1"/>
    <xf numFmtId="0" fontId="0" fillId="2" borderId="28" xfId="0" applyFill="1" applyBorder="1"/>
    <xf numFmtId="0" fontId="0" fillId="2" borderId="53" xfId="0" applyFill="1" applyBorder="1"/>
    <xf numFmtId="0" fontId="8" fillId="0" borderId="29" xfId="0" applyFont="1" applyBorder="1" applyAlignment="1">
      <alignment horizontal="left"/>
    </xf>
    <xf numFmtId="165" fontId="0" fillId="0" borderId="28" xfId="0" applyNumberFormat="1" applyBorder="1"/>
    <xf numFmtId="0" fontId="0" fillId="2" borderId="1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8" borderId="14" xfId="0" applyFill="1" applyBorder="1"/>
    <xf numFmtId="0" fontId="0" fillId="9" borderId="36" xfId="0" applyFill="1" applyBorder="1" applyAlignment="1">
      <alignment horizontal="right"/>
    </xf>
    <xf numFmtId="0" fontId="0" fillId="9" borderId="14" xfId="0" applyFill="1" applyBorder="1" applyAlignment="1">
      <alignment wrapText="1"/>
    </xf>
    <xf numFmtId="0" fontId="0" fillId="9" borderId="22" xfId="0" applyFill="1" applyBorder="1"/>
    <xf numFmtId="0" fontId="8" fillId="9" borderId="13" xfId="0" applyFont="1" applyFill="1" applyBorder="1"/>
    <xf numFmtId="8" fontId="0" fillId="9" borderId="14" xfId="0" applyNumberFormat="1" applyFill="1" applyBorder="1"/>
    <xf numFmtId="8" fontId="0" fillId="9" borderId="38" xfId="0" applyNumberFormat="1" applyFill="1" applyBorder="1"/>
    <xf numFmtId="0" fontId="2" fillId="2" borderId="5" xfId="0" applyFont="1" applyFill="1" applyBorder="1" applyAlignment="1">
      <alignment horizontal="right" wrapText="1"/>
    </xf>
    <xf numFmtId="0" fontId="0" fillId="2" borderId="32" xfId="0" applyFill="1" applyBorder="1" applyAlignment="1">
      <alignment horizontal="right"/>
    </xf>
    <xf numFmtId="0" fontId="0" fillId="2" borderId="18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40" xfId="0" applyFill="1" applyBorder="1" applyAlignment="1">
      <alignment horizontal="right"/>
    </xf>
    <xf numFmtId="0" fontId="2" fillId="7" borderId="5" xfId="0" applyFont="1" applyFill="1" applyBorder="1" applyAlignment="1">
      <alignment horizontal="right" wrapText="1"/>
    </xf>
    <xf numFmtId="0" fontId="0" fillId="5" borderId="32" xfId="0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7" borderId="14" xfId="0" applyFill="1" applyBorder="1" applyAlignment="1">
      <alignment horizontal="right"/>
    </xf>
    <xf numFmtId="0" fontId="0" fillId="7" borderId="40" xfId="0" applyFill="1" applyBorder="1" applyAlignment="1">
      <alignment horizontal="right"/>
    </xf>
    <xf numFmtId="0" fontId="4" fillId="7" borderId="5" xfId="0" applyFont="1" applyFill="1" applyBorder="1" applyAlignment="1">
      <alignment horizontal="right" wrapText="1"/>
    </xf>
    <xf numFmtId="0" fontId="0" fillId="7" borderId="10" xfId="0" applyFill="1" applyBorder="1" applyAlignment="1">
      <alignment horizontal="right"/>
    </xf>
    <xf numFmtId="0" fontId="0" fillId="7" borderId="18" xfId="0" applyFill="1" applyBorder="1" applyAlignment="1">
      <alignment horizontal="right"/>
    </xf>
    <xf numFmtId="0" fontId="0" fillId="7" borderId="28" xfId="0" applyFill="1" applyBorder="1" applyAlignment="1">
      <alignment horizontal="right"/>
    </xf>
    <xf numFmtId="0" fontId="0" fillId="7" borderId="32" xfId="0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0" fontId="0" fillId="5" borderId="40" xfId="0" applyFill="1" applyBorder="1" applyAlignment="1">
      <alignment horizontal="right"/>
    </xf>
    <xf numFmtId="0" fontId="0" fillId="2" borderId="28" xfId="0" applyFill="1" applyBorder="1" applyAlignment="1">
      <alignment horizontal="right"/>
    </xf>
    <xf numFmtId="0" fontId="3" fillId="7" borderId="5" xfId="0" applyFont="1" applyFill="1" applyBorder="1" applyAlignment="1">
      <alignment horizontal="right"/>
    </xf>
    <xf numFmtId="8" fontId="0" fillId="9" borderId="37" xfId="0" applyNumberFormat="1" applyFill="1" applyBorder="1"/>
    <xf numFmtId="0" fontId="8" fillId="0" borderId="0" xfId="0" applyFont="1"/>
    <xf numFmtId="8" fontId="0" fillId="4" borderId="0" xfId="0" applyNumberFormat="1" applyFill="1"/>
    <xf numFmtId="8" fontId="0" fillId="0" borderId="0" xfId="0" applyNumberFormat="1"/>
    <xf numFmtId="0" fontId="0" fillId="4" borderId="22" xfId="0" applyFill="1" applyBorder="1"/>
    <xf numFmtId="0" fontId="0" fillId="4" borderId="40" xfId="0" applyFill="1" applyBorder="1"/>
    <xf numFmtId="0" fontId="0" fillId="4" borderId="41" xfId="0" applyFill="1" applyBorder="1"/>
    <xf numFmtId="0" fontId="0" fillId="3" borderId="14" xfId="0" applyFill="1" applyBorder="1"/>
    <xf numFmtId="0" fontId="1" fillId="4" borderId="14" xfId="0" applyFont="1" applyFill="1" applyBorder="1"/>
    <xf numFmtId="0" fontId="0" fillId="4" borderId="10" xfId="0" applyFill="1" applyBorder="1"/>
    <xf numFmtId="8" fontId="7" fillId="4" borderId="37" xfId="0" applyNumberFormat="1" applyFont="1" applyFill="1" applyBorder="1"/>
    <xf numFmtId="0" fontId="6" fillId="0" borderId="36" xfId="0" applyFont="1" applyBorder="1" applyAlignment="1">
      <alignment horizontal="right"/>
    </xf>
    <xf numFmtId="0" fontId="16" fillId="4" borderId="39" xfId="0" applyFont="1" applyFill="1" applyBorder="1" applyAlignment="1">
      <alignment horizontal="right" vertical="center"/>
    </xf>
    <xf numFmtId="0" fontId="0" fillId="4" borderId="23" xfId="0" applyFill="1" applyBorder="1"/>
    <xf numFmtId="0" fontId="0" fillId="4" borderId="29" xfId="0" applyFill="1" applyBorder="1"/>
    <xf numFmtId="165" fontId="0" fillId="4" borderId="40" xfId="0" applyNumberFormat="1" applyFill="1" applyBorder="1"/>
    <xf numFmtId="165" fontId="0" fillId="4" borderId="30" xfId="0" applyNumberFormat="1" applyFill="1" applyBorder="1"/>
    <xf numFmtId="0" fontId="0" fillId="3" borderId="14" xfId="0" applyFill="1" applyBorder="1" applyAlignment="1">
      <alignment horizontal="right"/>
    </xf>
    <xf numFmtId="0" fontId="0" fillId="4" borderId="40" xfId="0" applyFill="1" applyBorder="1" applyAlignment="1">
      <alignment horizontal="right"/>
    </xf>
    <xf numFmtId="0" fontId="0" fillId="8" borderId="36" xfId="0" applyFill="1" applyBorder="1" applyAlignment="1">
      <alignment horizontal="right"/>
    </xf>
    <xf numFmtId="0" fontId="0" fillId="8" borderId="14" xfId="0" applyFill="1" applyBorder="1" applyAlignment="1">
      <alignment wrapText="1"/>
    </xf>
    <xf numFmtId="0" fontId="0" fillId="8" borderId="14" xfId="0" applyFill="1" applyBorder="1" applyAlignment="1">
      <alignment horizontal="right"/>
    </xf>
    <xf numFmtId="0" fontId="0" fillId="8" borderId="15" xfId="0" applyFill="1" applyBorder="1"/>
    <xf numFmtId="0" fontId="0" fillId="8" borderId="17" xfId="0" applyFill="1" applyBorder="1"/>
    <xf numFmtId="0" fontId="8" fillId="8" borderId="13" xfId="0" applyFont="1" applyFill="1" applyBorder="1"/>
    <xf numFmtId="8" fontId="0" fillId="8" borderId="14" xfId="0" applyNumberFormat="1" applyFill="1" applyBorder="1"/>
    <xf numFmtId="8" fontId="0" fillId="8" borderId="37" xfId="0" applyNumberFormat="1" applyFill="1" applyBorder="1"/>
    <xf numFmtId="0" fontId="0" fillId="8" borderId="12" xfId="0" applyFill="1" applyBorder="1"/>
    <xf numFmtId="0" fontId="0" fillId="4" borderId="15" xfId="0" applyFill="1" applyBorder="1"/>
    <xf numFmtId="0" fontId="8" fillId="4" borderId="13" xfId="0" applyFont="1" applyFill="1" applyBorder="1" applyAlignment="1">
      <alignment horizontal="left"/>
    </xf>
    <xf numFmtId="0" fontId="1" fillId="4" borderId="14" xfId="0" applyFont="1" applyFill="1" applyBorder="1" applyAlignment="1">
      <alignment wrapText="1"/>
    </xf>
    <xf numFmtId="0" fontId="0" fillId="7" borderId="15" xfId="0" applyFill="1" applyBorder="1"/>
    <xf numFmtId="0" fontId="16" fillId="4" borderId="14" xfId="0" applyFont="1" applyFill="1" applyBorder="1" applyAlignment="1">
      <alignment horizontal="right"/>
    </xf>
    <xf numFmtId="0" fontId="15" fillId="4" borderId="0" xfId="0" applyFont="1" applyFill="1" applyAlignment="1">
      <alignment horizontal="left" vertical="center" wrapText="1"/>
    </xf>
    <xf numFmtId="0" fontId="8" fillId="4" borderId="14" xfId="0" applyFont="1" applyFill="1" applyBorder="1"/>
    <xf numFmtId="0" fontId="2" fillId="4" borderId="0" xfId="0" applyFont="1" applyFill="1"/>
    <xf numFmtId="14" fontId="2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13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8" fontId="2" fillId="4" borderId="0" xfId="0" applyNumberFormat="1" applyFont="1" applyFill="1"/>
    <xf numFmtId="0" fontId="8" fillId="0" borderId="0" xfId="0" applyFont="1" applyAlignment="1">
      <alignment horizontal="left"/>
    </xf>
    <xf numFmtId="165" fontId="0" fillId="0" borderId="0" xfId="0" applyNumberFormat="1"/>
    <xf numFmtId="0" fontId="0" fillId="0" borderId="14" xfId="0" applyBorder="1" applyAlignment="1">
      <alignment horizontal="right" vertical="center"/>
    </xf>
    <xf numFmtId="0" fontId="2" fillId="7" borderId="2" xfId="0" applyFon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7" borderId="50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0" fontId="0" fillId="11" borderId="36" xfId="0" applyFill="1" applyBorder="1" applyAlignment="1">
      <alignment horizontal="right" vertical="center"/>
    </xf>
    <xf numFmtId="0" fontId="13" fillId="11" borderId="14" xfId="0" applyFont="1" applyFill="1" applyBorder="1" applyAlignment="1">
      <alignment horizontal="left" vertical="center"/>
    </xf>
    <xf numFmtId="0" fontId="0" fillId="11" borderId="14" xfId="0" applyFill="1" applyBorder="1"/>
    <xf numFmtId="0" fontId="0" fillId="11" borderId="15" xfId="0" applyFill="1" applyBorder="1"/>
    <xf numFmtId="0" fontId="0" fillId="11" borderId="12" xfId="0" applyFill="1" applyBorder="1"/>
    <xf numFmtId="0" fontId="0" fillId="11" borderId="13" xfId="0" applyFill="1" applyBorder="1"/>
    <xf numFmtId="165" fontId="0" fillId="11" borderId="14" xfId="0" applyNumberFormat="1" applyFill="1" applyBorder="1"/>
    <xf numFmtId="165" fontId="0" fillId="11" borderId="38" xfId="0" applyNumberFormat="1" applyFill="1" applyBorder="1"/>
    <xf numFmtId="0" fontId="18" fillId="4" borderId="0" xfId="0" applyFont="1" applyFill="1" applyAlignment="1">
      <alignment horizontal="center" vertical="center" wrapText="1"/>
    </xf>
    <xf numFmtId="0" fontId="0" fillId="4" borderId="32" xfId="0" applyFill="1" applyBorder="1"/>
    <xf numFmtId="0" fontId="0" fillId="4" borderId="25" xfId="0" applyFill="1" applyBorder="1"/>
    <xf numFmtId="0" fontId="0" fillId="4" borderId="21" xfId="0" applyFill="1" applyBorder="1"/>
    <xf numFmtId="0" fontId="6" fillId="4" borderId="44" xfId="0" applyFont="1" applyFill="1" applyBorder="1" applyAlignment="1">
      <alignment horizontal="right"/>
    </xf>
    <xf numFmtId="0" fontId="1" fillId="4" borderId="10" xfId="0" applyFont="1" applyFill="1" applyBorder="1" applyAlignment="1">
      <alignment wrapText="1"/>
    </xf>
    <xf numFmtId="0" fontId="0" fillId="4" borderId="12" xfId="0" applyFill="1" applyBorder="1"/>
    <xf numFmtId="0" fontId="8" fillId="4" borderId="36" xfId="0" applyFont="1" applyFill="1" applyBorder="1" applyAlignment="1">
      <alignment horizontal="right"/>
    </xf>
    <xf numFmtId="0" fontId="0" fillId="4" borderId="10" xfId="0" applyFill="1" applyBorder="1" applyAlignment="1">
      <alignment wrapText="1"/>
    </xf>
    <xf numFmtId="0" fontId="0" fillId="4" borderId="17" xfId="0" applyFill="1" applyBorder="1"/>
    <xf numFmtId="0" fontId="0" fillId="4" borderId="40" xfId="0" applyFill="1" applyBorder="1" applyAlignment="1">
      <alignment wrapText="1"/>
    </xf>
    <xf numFmtId="8" fontId="0" fillId="4" borderId="43" xfId="0" applyNumberFormat="1" applyFill="1" applyBorder="1"/>
    <xf numFmtId="0" fontId="0" fillId="4" borderId="31" xfId="0" applyFill="1" applyBorder="1" applyAlignment="1">
      <alignment horizontal="right" vertical="center"/>
    </xf>
    <xf numFmtId="0" fontId="8" fillId="4" borderId="32" xfId="0" applyFont="1" applyFill="1" applyBorder="1" applyAlignment="1">
      <alignment horizontal="left"/>
    </xf>
    <xf numFmtId="165" fontId="0" fillId="4" borderId="32" xfId="0" applyNumberFormat="1" applyFill="1" applyBorder="1"/>
    <xf numFmtId="165" fontId="0" fillId="4" borderId="35" xfId="0" applyNumberFormat="1" applyFill="1" applyBorder="1"/>
    <xf numFmtId="0" fontId="0" fillId="4" borderId="36" xfId="0" applyFill="1" applyBorder="1" applyAlignment="1">
      <alignment horizontal="right" vertical="center"/>
    </xf>
    <xf numFmtId="0" fontId="8" fillId="4" borderId="14" xfId="0" applyFont="1" applyFill="1" applyBorder="1" applyAlignment="1">
      <alignment horizontal="left"/>
    </xf>
    <xf numFmtId="165" fontId="0" fillId="4" borderId="14" xfId="0" applyNumberFormat="1" applyFill="1" applyBorder="1"/>
    <xf numFmtId="165" fontId="0" fillId="4" borderId="37" xfId="0" applyNumberFormat="1" applyFill="1" applyBorder="1"/>
    <xf numFmtId="165" fontId="0" fillId="4" borderId="38" xfId="0" applyNumberFormat="1" applyFill="1" applyBorder="1"/>
    <xf numFmtId="0" fontId="17" fillId="4" borderId="47" xfId="0" applyFont="1" applyFill="1" applyBorder="1"/>
    <xf numFmtId="0" fontId="8" fillId="4" borderId="40" xfId="0" applyFont="1" applyFill="1" applyBorder="1"/>
    <xf numFmtId="0" fontId="0" fillId="0" borderId="31" xfId="0" applyBorder="1" applyAlignment="1">
      <alignment horizontal="right"/>
    </xf>
    <xf numFmtId="0" fontId="8" fillId="4" borderId="34" xfId="0" applyFont="1" applyFill="1" applyBorder="1"/>
    <xf numFmtId="8" fontId="0" fillId="4" borderId="32" xfId="0" applyNumberFormat="1" applyFill="1" applyBorder="1"/>
    <xf numFmtId="8" fontId="0" fillId="4" borderId="35" xfId="0" applyNumberFormat="1" applyFill="1" applyBorder="1"/>
    <xf numFmtId="0" fontId="0" fillId="4" borderId="39" xfId="0" applyFill="1" applyBorder="1" applyAlignment="1">
      <alignment horizontal="right"/>
    </xf>
    <xf numFmtId="0" fontId="0" fillId="4" borderId="28" xfId="0" applyFill="1" applyBorder="1"/>
    <xf numFmtId="0" fontId="8" fillId="4" borderId="42" xfId="0" applyFont="1" applyFill="1" applyBorder="1" applyAlignment="1">
      <alignment horizontal="left"/>
    </xf>
    <xf numFmtId="0" fontId="8" fillId="0" borderId="34" xfId="0" applyFont="1" applyBorder="1" applyAlignment="1">
      <alignment horizontal="left"/>
    </xf>
    <xf numFmtId="0" fontId="0" fillId="7" borderId="36" xfId="0" applyFill="1" applyBorder="1" applyAlignment="1">
      <alignment horizontal="right"/>
    </xf>
    <xf numFmtId="0" fontId="0" fillId="7" borderId="14" xfId="0" applyFill="1" applyBorder="1" applyAlignment="1">
      <alignment wrapText="1"/>
    </xf>
    <xf numFmtId="0" fontId="0" fillId="7" borderId="22" xfId="0" applyFill="1" applyBorder="1"/>
    <xf numFmtId="0" fontId="8" fillId="7" borderId="16" xfId="0" applyFont="1" applyFill="1" applyBorder="1" applyAlignment="1">
      <alignment horizontal="left"/>
    </xf>
    <xf numFmtId="8" fontId="0" fillId="7" borderId="14" xfId="0" applyNumberFormat="1" applyFill="1" applyBorder="1"/>
    <xf numFmtId="8" fontId="0" fillId="7" borderId="37" xfId="0" applyNumberFormat="1" applyFill="1" applyBorder="1"/>
    <xf numFmtId="0" fontId="0" fillId="7" borderId="11" xfId="0" applyFill="1" applyBorder="1"/>
    <xf numFmtId="0" fontId="8" fillId="7" borderId="16" xfId="0" applyFont="1" applyFill="1" applyBorder="1"/>
    <xf numFmtId="8" fontId="0" fillId="7" borderId="38" xfId="0" applyNumberFormat="1" applyFill="1" applyBorder="1"/>
    <xf numFmtId="0" fontId="0" fillId="7" borderId="44" xfId="0" applyFill="1" applyBorder="1" applyAlignment="1">
      <alignment horizontal="right"/>
    </xf>
    <xf numFmtId="0" fontId="8" fillId="7" borderId="13" xfId="0" applyFont="1" applyFill="1" applyBorder="1"/>
    <xf numFmtId="8" fontId="0" fillId="7" borderId="10" xfId="0" applyNumberFormat="1" applyFill="1" applyBorder="1"/>
    <xf numFmtId="0" fontId="0" fillId="5" borderId="18" xfId="0" applyFill="1" applyBorder="1"/>
    <xf numFmtId="0" fontId="0" fillId="12" borderId="32" xfId="0" applyFill="1" applyBorder="1"/>
    <xf numFmtId="0" fontId="0" fillId="12" borderId="14" xfId="0" applyFill="1" applyBorder="1"/>
    <xf numFmtId="0" fontId="0" fillId="12" borderId="18" xfId="0" applyFill="1" applyBorder="1"/>
    <xf numFmtId="0" fontId="0" fillId="12" borderId="10" xfId="0" applyFill="1" applyBorder="1"/>
    <xf numFmtId="0" fontId="0" fillId="12" borderId="11" xfId="0" applyFill="1" applyBorder="1"/>
    <xf numFmtId="0" fontId="0" fillId="12" borderId="15" xfId="0" applyFill="1" applyBorder="1"/>
    <xf numFmtId="0" fontId="0" fillId="12" borderId="14" xfId="0" applyFill="1" applyBorder="1" applyAlignment="1">
      <alignment horizontal="right"/>
    </xf>
    <xf numFmtId="0" fontId="0" fillId="12" borderId="14" xfId="0" applyFill="1" applyBorder="1" applyAlignment="1">
      <alignment horizontal="center"/>
    </xf>
    <xf numFmtId="0" fontId="0" fillId="12" borderId="40" xfId="0" applyFill="1" applyBorder="1"/>
    <xf numFmtId="0" fontId="0" fillId="12" borderId="40" xfId="0" applyFill="1" applyBorder="1" applyAlignment="1">
      <alignment horizontal="center"/>
    </xf>
    <xf numFmtId="0" fontId="0" fillId="12" borderId="41" xfId="0" applyFill="1" applyBorder="1"/>
    <xf numFmtId="0" fontId="0" fillId="9" borderId="15" xfId="0" applyFill="1" applyBorder="1"/>
    <xf numFmtId="0" fontId="0" fillId="9" borderId="54" xfId="0" applyFill="1" applyBorder="1"/>
    <xf numFmtId="0" fontId="0" fillId="9" borderId="55" xfId="0" applyFill="1" applyBorder="1"/>
    <xf numFmtId="0" fontId="0" fillId="0" borderId="54" xfId="0" applyBorder="1"/>
    <xf numFmtId="0" fontId="0" fillId="0" borderId="55" xfId="0" applyBorder="1"/>
    <xf numFmtId="0" fontId="19" fillId="13" borderId="32" xfId="0" applyFont="1" applyFill="1" applyBorder="1" applyAlignment="1">
      <alignment horizontal="left" vertical="center" wrapText="1"/>
    </xf>
    <xf numFmtId="0" fontId="19" fillId="13" borderId="10" xfId="0" applyFont="1" applyFill="1" applyBorder="1" applyAlignment="1">
      <alignment horizontal="left" vertical="center" wrapText="1"/>
    </xf>
    <xf numFmtId="0" fontId="19" fillId="13" borderId="21" xfId="0" applyFont="1" applyFill="1" applyBorder="1" applyAlignment="1">
      <alignment horizontal="left" vertical="center" wrapText="1"/>
    </xf>
    <xf numFmtId="0" fontId="19" fillId="13" borderId="14" xfId="0" applyFont="1" applyFill="1" applyBorder="1" applyAlignment="1">
      <alignment horizontal="left" vertical="center" wrapText="1"/>
    </xf>
    <xf numFmtId="0" fontId="19" fillId="13" borderId="4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8A30-69C9-4A44-BFC9-275A1B4C6AFC}">
  <sheetPr>
    <tabColor theme="2"/>
  </sheetPr>
  <dimension ref="A1:Y166"/>
  <sheetViews>
    <sheetView topLeftCell="A23" zoomScaleNormal="100" workbookViewId="0">
      <selection activeCell="R59" sqref="R59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8.83203125" bestFit="1" customWidth="1"/>
    <col min="11" max="11" width="14.1640625" customWidth="1"/>
    <col min="15" max="15" width="11.5" bestFit="1" customWidth="1"/>
  </cols>
  <sheetData>
    <row r="1" spans="1:11" ht="16" thickBot="1" x14ac:dyDescent="0.25">
      <c r="A1" s="137"/>
      <c r="B1" s="138" t="s">
        <v>0</v>
      </c>
      <c r="C1" s="139"/>
      <c r="D1" s="139"/>
      <c r="E1" s="139"/>
      <c r="F1" s="139"/>
      <c r="G1" s="139"/>
      <c r="H1" s="139"/>
      <c r="I1" s="140" t="s">
        <v>1</v>
      </c>
      <c r="J1" s="141">
        <v>45597</v>
      </c>
      <c r="K1" s="142"/>
    </row>
    <row r="2" spans="1:11" ht="49" thickBot="1" x14ac:dyDescent="0.25">
      <c r="A2" s="67" t="s">
        <v>2</v>
      </c>
      <c r="B2" s="47" t="s">
        <v>3</v>
      </c>
      <c r="C2" s="1" t="s">
        <v>4</v>
      </c>
      <c r="D2" s="2" t="s">
        <v>5</v>
      </c>
      <c r="E2" s="2" t="s">
        <v>6</v>
      </c>
      <c r="F2" s="3" t="s">
        <v>7</v>
      </c>
      <c r="G2" s="4" t="s">
        <v>8</v>
      </c>
      <c r="H2" s="5" t="s">
        <v>9</v>
      </c>
      <c r="I2" s="6" t="s">
        <v>10</v>
      </c>
      <c r="J2" s="7" t="s">
        <v>11</v>
      </c>
      <c r="K2" s="8" t="s">
        <v>12</v>
      </c>
    </row>
    <row r="3" spans="1:11" x14ac:dyDescent="0.2">
      <c r="A3" s="104">
        <v>2230350002</v>
      </c>
      <c r="B3" s="9" t="s">
        <v>13</v>
      </c>
      <c r="C3" s="70"/>
      <c r="D3" s="70"/>
      <c r="E3" s="70"/>
      <c r="F3" s="70"/>
      <c r="G3" s="70"/>
      <c r="H3" s="184">
        <f>SUM(C3:G3)</f>
        <v>0</v>
      </c>
      <c r="I3" s="40" t="s">
        <v>14</v>
      </c>
      <c r="J3" s="14">
        <v>25</v>
      </c>
      <c r="K3" s="75">
        <f>H3*J3</f>
        <v>0</v>
      </c>
    </row>
    <row r="4" spans="1:11" x14ac:dyDescent="0.2">
      <c r="A4" s="73">
        <v>2230400014</v>
      </c>
      <c r="B4" s="15" t="s">
        <v>15</v>
      </c>
      <c r="C4" s="16"/>
      <c r="D4" s="16"/>
      <c r="E4" s="16"/>
      <c r="F4" s="16"/>
      <c r="G4" s="16"/>
      <c r="H4" s="15">
        <f t="shared" ref="H4:H40" si="0">SUM(C4:G4)</f>
        <v>0</v>
      </c>
      <c r="I4" s="96">
        <v>750</v>
      </c>
      <c r="J4" s="18">
        <v>20.16</v>
      </c>
      <c r="K4" s="74">
        <f>H4*J4</f>
        <v>0</v>
      </c>
    </row>
    <row r="5" spans="1:11" x14ac:dyDescent="0.2">
      <c r="A5" s="73">
        <v>2230400016</v>
      </c>
      <c r="B5" s="15" t="s">
        <v>16</v>
      </c>
      <c r="C5" s="16"/>
      <c r="D5" s="16"/>
      <c r="E5" s="16"/>
      <c r="F5" s="16"/>
      <c r="G5" s="16"/>
      <c r="H5" s="15">
        <f t="shared" si="0"/>
        <v>0</v>
      </c>
      <c r="I5" s="96">
        <v>750</v>
      </c>
      <c r="J5" s="22">
        <v>27.19</v>
      </c>
      <c r="K5" s="74">
        <f t="shared" ref="K5:K40" si="1">H5*J5</f>
        <v>0</v>
      </c>
    </row>
    <row r="6" spans="1:11" x14ac:dyDescent="0.2">
      <c r="A6" s="73">
        <v>2230400032</v>
      </c>
      <c r="B6" s="15" t="s">
        <v>17</v>
      </c>
      <c r="C6" s="16"/>
      <c r="D6" s="16"/>
      <c r="E6" s="16"/>
      <c r="F6" s="16"/>
      <c r="G6" s="16"/>
      <c r="H6" s="15">
        <f t="shared" si="0"/>
        <v>0</v>
      </c>
      <c r="I6" s="26" t="s">
        <v>14</v>
      </c>
      <c r="J6" s="22">
        <v>35.75</v>
      </c>
      <c r="K6" s="74">
        <f t="shared" si="1"/>
        <v>0</v>
      </c>
    </row>
    <row r="7" spans="1:11" x14ac:dyDescent="0.2">
      <c r="A7" s="73">
        <v>2230400030</v>
      </c>
      <c r="B7" s="15" t="s">
        <v>18</v>
      </c>
      <c r="C7" s="16"/>
      <c r="D7" s="16"/>
      <c r="E7" s="16"/>
      <c r="F7" s="16"/>
      <c r="G7" s="16"/>
      <c r="H7" s="15">
        <f t="shared" si="0"/>
        <v>0</v>
      </c>
      <c r="I7" s="26" t="s">
        <v>14</v>
      </c>
      <c r="J7" s="18">
        <v>23.19</v>
      </c>
      <c r="K7" s="74">
        <f t="shared" si="1"/>
        <v>0</v>
      </c>
    </row>
    <row r="8" spans="1:11" hidden="1" x14ac:dyDescent="0.2">
      <c r="A8" s="73">
        <v>2230400012</v>
      </c>
      <c r="B8" s="15" t="s">
        <v>19</v>
      </c>
      <c r="C8" s="16"/>
      <c r="D8" s="16"/>
      <c r="E8" s="16"/>
      <c r="F8" s="16"/>
      <c r="G8" s="16"/>
      <c r="H8" s="15">
        <f t="shared" si="0"/>
        <v>0</v>
      </c>
      <c r="I8" s="26" t="s">
        <v>14</v>
      </c>
      <c r="J8" s="18">
        <v>22.48</v>
      </c>
      <c r="K8" s="74">
        <f t="shared" si="1"/>
        <v>0</v>
      </c>
    </row>
    <row r="9" spans="1:11" x14ac:dyDescent="0.2">
      <c r="A9" s="73">
        <v>2230400018</v>
      </c>
      <c r="B9" s="15" t="s">
        <v>20</v>
      </c>
      <c r="C9" s="16"/>
      <c r="D9" s="16"/>
      <c r="E9" s="16"/>
      <c r="F9" s="16"/>
      <c r="G9" s="16"/>
      <c r="H9" s="15">
        <f t="shared" si="0"/>
        <v>0</v>
      </c>
      <c r="I9" s="26" t="s">
        <v>29</v>
      </c>
      <c r="J9" s="18">
        <v>26.61</v>
      </c>
      <c r="K9" s="74">
        <f t="shared" si="1"/>
        <v>0</v>
      </c>
    </row>
    <row r="10" spans="1:11" ht="16" x14ac:dyDescent="0.2">
      <c r="A10" s="73">
        <v>2230400011</v>
      </c>
      <c r="B10" s="19" t="s">
        <v>21</v>
      </c>
      <c r="C10" s="16"/>
      <c r="D10" s="16"/>
      <c r="E10" s="16"/>
      <c r="F10" s="16"/>
      <c r="G10" s="16"/>
      <c r="H10" s="15">
        <f t="shared" si="0"/>
        <v>0</v>
      </c>
      <c r="I10" s="26" t="s">
        <v>29</v>
      </c>
      <c r="J10" s="18">
        <v>7.51</v>
      </c>
      <c r="K10" s="74">
        <f t="shared" si="1"/>
        <v>0</v>
      </c>
    </row>
    <row r="11" spans="1:11" hidden="1" x14ac:dyDescent="0.2">
      <c r="A11" s="73">
        <v>2230400026</v>
      </c>
      <c r="B11" s="15" t="s">
        <v>22</v>
      </c>
      <c r="C11" s="16"/>
      <c r="D11" s="16"/>
      <c r="E11" s="16"/>
      <c r="F11" s="16"/>
      <c r="G11" s="16"/>
      <c r="H11" s="15">
        <f t="shared" si="0"/>
        <v>0</v>
      </c>
      <c r="I11" s="26" t="s">
        <v>14</v>
      </c>
      <c r="J11" s="18">
        <v>7.87</v>
      </c>
      <c r="K11" s="74">
        <f t="shared" si="1"/>
        <v>0</v>
      </c>
    </row>
    <row r="12" spans="1:11" x14ac:dyDescent="0.2">
      <c r="A12" s="73">
        <v>2230400452</v>
      </c>
      <c r="B12" s="15" t="s">
        <v>23</v>
      </c>
      <c r="C12" s="16"/>
      <c r="D12" s="16"/>
      <c r="E12" s="16"/>
      <c r="F12" s="16"/>
      <c r="G12" s="16"/>
      <c r="H12" s="15">
        <f t="shared" si="0"/>
        <v>0</v>
      </c>
      <c r="I12" s="26" t="s">
        <v>14</v>
      </c>
      <c r="J12" s="22">
        <v>7.88</v>
      </c>
      <c r="K12" s="74">
        <f t="shared" si="1"/>
        <v>0</v>
      </c>
    </row>
    <row r="13" spans="1:11" ht="16" x14ac:dyDescent="0.2">
      <c r="A13" s="73">
        <v>2230500001</v>
      </c>
      <c r="B13" s="19" t="s">
        <v>24</v>
      </c>
      <c r="C13" s="16"/>
      <c r="D13" s="16"/>
      <c r="E13" s="16"/>
      <c r="F13" s="16"/>
      <c r="G13" s="16"/>
      <c r="H13" s="15">
        <f t="shared" si="0"/>
        <v>0</v>
      </c>
      <c r="I13" s="26" t="s">
        <v>14</v>
      </c>
      <c r="J13" s="18">
        <v>37.659999999999997</v>
      </c>
      <c r="K13" s="74">
        <f t="shared" si="1"/>
        <v>0</v>
      </c>
    </row>
    <row r="14" spans="1:11" x14ac:dyDescent="0.2">
      <c r="A14" s="73">
        <v>2230500004</v>
      </c>
      <c r="B14" s="15" t="s">
        <v>25</v>
      </c>
      <c r="C14" s="16"/>
      <c r="D14" s="16"/>
      <c r="E14" s="16"/>
      <c r="F14" s="16"/>
      <c r="G14" s="16"/>
      <c r="H14" s="15">
        <f t="shared" si="0"/>
        <v>0</v>
      </c>
      <c r="I14" s="26" t="s">
        <v>14</v>
      </c>
      <c r="J14" s="18">
        <v>43.49</v>
      </c>
      <c r="K14" s="74">
        <f t="shared" si="1"/>
        <v>0</v>
      </c>
    </row>
    <row r="15" spans="1:11" x14ac:dyDescent="0.2">
      <c r="A15" s="73">
        <v>2230650036</v>
      </c>
      <c r="B15" s="15" t="s">
        <v>26</v>
      </c>
      <c r="C15" s="16"/>
      <c r="D15" s="16"/>
      <c r="E15" s="16"/>
      <c r="F15" s="16"/>
      <c r="G15" s="16"/>
      <c r="H15" s="15">
        <f t="shared" si="0"/>
        <v>0</v>
      </c>
      <c r="I15" s="26" t="s">
        <v>14</v>
      </c>
      <c r="J15" s="18">
        <v>22.27</v>
      </c>
      <c r="K15" s="74">
        <f t="shared" si="1"/>
        <v>0</v>
      </c>
    </row>
    <row r="16" spans="1:11" x14ac:dyDescent="0.2">
      <c r="A16" s="105">
        <v>2230650044</v>
      </c>
      <c r="B16" s="21" t="s">
        <v>27</v>
      </c>
      <c r="C16" s="16"/>
      <c r="D16" s="16"/>
      <c r="E16" s="16"/>
      <c r="F16" s="16"/>
      <c r="G16" s="16"/>
      <c r="H16" s="15">
        <f t="shared" si="0"/>
        <v>0</v>
      </c>
      <c r="I16" s="97" t="s">
        <v>14</v>
      </c>
      <c r="J16" s="22">
        <v>22.5</v>
      </c>
      <c r="K16" s="106">
        <f t="shared" si="1"/>
        <v>0</v>
      </c>
    </row>
    <row r="17" spans="1:11" ht="16" x14ac:dyDescent="0.2">
      <c r="A17" s="73">
        <v>2240200016</v>
      </c>
      <c r="B17" s="19" t="s">
        <v>28</v>
      </c>
      <c r="C17" s="16"/>
      <c r="D17" s="16"/>
      <c r="E17" s="16"/>
      <c r="F17" s="16"/>
      <c r="G17" s="16"/>
      <c r="H17" s="15">
        <f t="shared" si="0"/>
        <v>0</v>
      </c>
      <c r="I17" s="26" t="s">
        <v>29</v>
      </c>
      <c r="J17" s="18">
        <v>5.56</v>
      </c>
      <c r="K17" s="74">
        <f t="shared" si="1"/>
        <v>0</v>
      </c>
    </row>
    <row r="18" spans="1:11" ht="16" x14ac:dyDescent="0.2">
      <c r="A18" s="73">
        <v>2240200017</v>
      </c>
      <c r="B18" s="19" t="s">
        <v>30</v>
      </c>
      <c r="C18" s="16"/>
      <c r="D18" s="16"/>
      <c r="E18" s="16"/>
      <c r="F18" s="16"/>
      <c r="G18" s="16"/>
      <c r="H18" s="15">
        <f t="shared" si="0"/>
        <v>0</v>
      </c>
      <c r="I18" s="26" t="s">
        <v>29</v>
      </c>
      <c r="J18" s="18">
        <v>5.58</v>
      </c>
      <c r="K18" s="74">
        <f t="shared" si="1"/>
        <v>0</v>
      </c>
    </row>
    <row r="19" spans="1:11" x14ac:dyDescent="0.2">
      <c r="A19" s="104">
        <v>2230250010</v>
      </c>
      <c r="B19" s="9" t="s">
        <v>31</v>
      </c>
      <c r="C19" s="16"/>
      <c r="D19" s="16"/>
      <c r="E19" s="16"/>
      <c r="F19" s="16"/>
      <c r="G19" s="16"/>
      <c r="H19" s="15">
        <f t="shared" si="0"/>
        <v>0</v>
      </c>
      <c r="I19" s="40" t="s">
        <v>14</v>
      </c>
      <c r="J19" s="23">
        <v>50.24</v>
      </c>
      <c r="K19" s="75">
        <f t="shared" si="1"/>
        <v>0</v>
      </c>
    </row>
    <row r="20" spans="1:11" x14ac:dyDescent="0.2">
      <c r="A20" s="73">
        <v>2230250007</v>
      </c>
      <c r="B20" s="15" t="s">
        <v>32</v>
      </c>
      <c r="C20" s="16"/>
      <c r="D20" s="16"/>
      <c r="E20" s="16"/>
      <c r="F20" s="16"/>
      <c r="G20" s="16"/>
      <c r="H20" s="15">
        <f t="shared" si="0"/>
        <v>0</v>
      </c>
      <c r="I20" s="96">
        <v>750</v>
      </c>
      <c r="J20" s="22">
        <v>32</v>
      </c>
      <c r="K20" s="75">
        <f t="shared" si="1"/>
        <v>0</v>
      </c>
    </row>
    <row r="21" spans="1:11" hidden="1" x14ac:dyDescent="0.2">
      <c r="A21" s="105">
        <v>2230350016</v>
      </c>
      <c r="B21" s="21" t="s">
        <v>33</v>
      </c>
      <c r="C21" s="16"/>
      <c r="D21" s="16"/>
      <c r="E21" s="16"/>
      <c r="F21" s="16"/>
      <c r="G21" s="16"/>
      <c r="H21" s="15">
        <f t="shared" si="0"/>
        <v>0</v>
      </c>
      <c r="I21" s="97" t="s">
        <v>14</v>
      </c>
      <c r="J21" s="22">
        <v>6</v>
      </c>
      <c r="K21" s="131">
        <f t="shared" si="1"/>
        <v>0</v>
      </c>
    </row>
    <row r="22" spans="1:11" ht="16" hidden="1" x14ac:dyDescent="0.2">
      <c r="A22" s="129">
        <v>2230350018</v>
      </c>
      <c r="B22" s="24" t="s">
        <v>34</v>
      </c>
      <c r="C22" s="16"/>
      <c r="D22" s="16"/>
      <c r="E22" s="16"/>
      <c r="F22" s="16"/>
      <c r="G22" s="16"/>
      <c r="H22" s="15">
        <f t="shared" si="0"/>
        <v>0</v>
      </c>
      <c r="I22" s="99" t="s">
        <v>14</v>
      </c>
      <c r="J22" s="20">
        <v>28.09</v>
      </c>
      <c r="K22" s="132">
        <f t="shared" si="1"/>
        <v>0</v>
      </c>
    </row>
    <row r="23" spans="1:11" x14ac:dyDescent="0.2">
      <c r="A23" s="73">
        <v>2230400099</v>
      </c>
      <c r="B23" s="15" t="s">
        <v>35</v>
      </c>
      <c r="C23" s="16"/>
      <c r="D23" s="16"/>
      <c r="E23" s="16"/>
      <c r="F23" s="16"/>
      <c r="G23" s="16"/>
      <c r="H23" s="15">
        <f t="shared" si="0"/>
        <v>0</v>
      </c>
      <c r="I23" s="97" t="s">
        <v>14</v>
      </c>
      <c r="J23" s="22">
        <v>35</v>
      </c>
      <c r="K23" s="75">
        <f t="shared" si="1"/>
        <v>0</v>
      </c>
    </row>
    <row r="24" spans="1:11" x14ac:dyDescent="0.2">
      <c r="A24" s="73">
        <v>2230400091</v>
      </c>
      <c r="B24" s="15" t="s">
        <v>36</v>
      </c>
      <c r="C24" s="16"/>
      <c r="D24" s="16"/>
      <c r="E24" s="16"/>
      <c r="F24" s="16"/>
      <c r="G24" s="16"/>
      <c r="H24" s="15">
        <f t="shared" si="0"/>
        <v>0</v>
      </c>
      <c r="I24" s="97" t="s">
        <v>14</v>
      </c>
      <c r="J24" s="18">
        <v>8.58</v>
      </c>
      <c r="K24" s="75">
        <f t="shared" si="1"/>
        <v>0</v>
      </c>
    </row>
    <row r="25" spans="1:11" x14ac:dyDescent="0.2">
      <c r="A25" s="73">
        <v>2230400092</v>
      </c>
      <c r="B25" s="15" t="s">
        <v>37</v>
      </c>
      <c r="C25" s="16"/>
      <c r="D25" s="16"/>
      <c r="E25" s="16"/>
      <c r="F25" s="16"/>
      <c r="G25" s="16"/>
      <c r="H25" s="15">
        <f t="shared" si="0"/>
        <v>0</v>
      </c>
      <c r="I25" s="97" t="s">
        <v>14</v>
      </c>
      <c r="J25" s="18">
        <v>8.58</v>
      </c>
      <c r="K25" s="75">
        <f t="shared" si="1"/>
        <v>0</v>
      </c>
    </row>
    <row r="26" spans="1:11" hidden="1" x14ac:dyDescent="0.2">
      <c r="A26" s="73">
        <v>2230400053</v>
      </c>
      <c r="B26" s="15" t="s">
        <v>38</v>
      </c>
      <c r="C26" s="16"/>
      <c r="D26" s="16"/>
      <c r="E26" s="16"/>
      <c r="F26" s="16"/>
      <c r="G26" s="16"/>
      <c r="H26" s="15">
        <f t="shared" si="0"/>
        <v>0</v>
      </c>
      <c r="I26" s="96">
        <v>750</v>
      </c>
      <c r="J26" s="18">
        <v>25.49</v>
      </c>
      <c r="K26" s="75">
        <f t="shared" si="1"/>
        <v>0</v>
      </c>
    </row>
    <row r="27" spans="1:11" x14ac:dyDescent="0.2">
      <c r="A27" s="73">
        <v>2230400559</v>
      </c>
      <c r="B27" s="15" t="s">
        <v>39</v>
      </c>
      <c r="C27" s="16"/>
      <c r="D27" s="16"/>
      <c r="E27" s="16"/>
      <c r="F27" s="16"/>
      <c r="G27" s="16"/>
      <c r="H27" s="15">
        <f t="shared" si="0"/>
        <v>0</v>
      </c>
      <c r="I27" s="96">
        <v>750</v>
      </c>
      <c r="J27" s="22">
        <v>17.75</v>
      </c>
      <c r="K27" s="75">
        <f t="shared" si="1"/>
        <v>0</v>
      </c>
    </row>
    <row r="28" spans="1:11" x14ac:dyDescent="0.2">
      <c r="A28" s="73">
        <v>2230400097</v>
      </c>
      <c r="B28" s="15" t="s">
        <v>40</v>
      </c>
      <c r="C28" s="16"/>
      <c r="D28" s="16"/>
      <c r="E28" s="16"/>
      <c r="F28" s="16"/>
      <c r="G28" s="16"/>
      <c r="H28" s="15">
        <f t="shared" si="0"/>
        <v>0</v>
      </c>
      <c r="I28" s="26" t="s">
        <v>14</v>
      </c>
      <c r="J28" s="22">
        <v>9</v>
      </c>
      <c r="K28" s="75">
        <f t="shared" si="1"/>
        <v>0</v>
      </c>
    </row>
    <row r="29" spans="1:11" ht="16" x14ac:dyDescent="0.2">
      <c r="A29" s="105">
        <v>2240100006</v>
      </c>
      <c r="B29" s="66" t="s">
        <v>41</v>
      </c>
      <c r="C29" s="16"/>
      <c r="D29" s="16"/>
      <c r="E29" s="16"/>
      <c r="F29" s="16"/>
      <c r="G29" s="16"/>
      <c r="H29" s="15">
        <f t="shared" si="0"/>
        <v>0</v>
      </c>
      <c r="I29" s="97" t="s">
        <v>29</v>
      </c>
      <c r="J29" s="22">
        <v>6.99</v>
      </c>
      <c r="K29" s="131">
        <f t="shared" si="1"/>
        <v>0</v>
      </c>
    </row>
    <row r="30" spans="1:11" ht="16" x14ac:dyDescent="0.2">
      <c r="A30" s="105">
        <v>2240200018</v>
      </c>
      <c r="B30" s="66" t="s">
        <v>43</v>
      </c>
      <c r="C30" s="16"/>
      <c r="D30" s="16"/>
      <c r="E30" s="16"/>
      <c r="F30" s="16"/>
      <c r="G30" s="16"/>
      <c r="H30" s="15">
        <f t="shared" si="0"/>
        <v>0</v>
      </c>
      <c r="I30" s="97" t="s">
        <v>29</v>
      </c>
      <c r="J30" s="22">
        <v>6.99</v>
      </c>
      <c r="K30" s="131">
        <f t="shared" si="1"/>
        <v>0</v>
      </c>
    </row>
    <row r="31" spans="1:11" x14ac:dyDescent="0.2">
      <c r="A31" s="105">
        <v>2240100004</v>
      </c>
      <c r="B31" s="21" t="s">
        <v>44</v>
      </c>
      <c r="C31" s="16"/>
      <c r="D31" s="16"/>
      <c r="E31" s="16"/>
      <c r="F31" s="16"/>
      <c r="G31" s="16"/>
      <c r="H31" s="15">
        <f t="shared" si="0"/>
        <v>0</v>
      </c>
      <c r="I31" s="97" t="s">
        <v>29</v>
      </c>
      <c r="J31" s="22">
        <v>6.99</v>
      </c>
      <c r="K31" s="131">
        <f t="shared" si="1"/>
        <v>0</v>
      </c>
    </row>
    <row r="32" spans="1:11" x14ac:dyDescent="0.2">
      <c r="A32" s="105">
        <v>2240300043</v>
      </c>
      <c r="B32" s="21" t="s">
        <v>45</v>
      </c>
      <c r="C32" s="16"/>
      <c r="D32" s="16"/>
      <c r="E32" s="16"/>
      <c r="F32" s="16"/>
      <c r="G32" s="16"/>
      <c r="H32" s="15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ht="16" x14ac:dyDescent="0.2">
      <c r="A33" s="105">
        <v>2240050011</v>
      </c>
      <c r="B33" s="66" t="s">
        <v>46</v>
      </c>
      <c r="C33" s="16"/>
      <c r="D33" s="16"/>
      <c r="E33" s="16"/>
      <c r="F33" s="16"/>
      <c r="G33" s="16"/>
      <c r="H33" s="15">
        <f t="shared" si="0"/>
        <v>0</v>
      </c>
      <c r="I33" s="98">
        <v>750</v>
      </c>
      <c r="J33" s="22">
        <v>4</v>
      </c>
      <c r="K33" s="131">
        <f t="shared" si="1"/>
        <v>0</v>
      </c>
    </row>
    <row r="34" spans="1:11" x14ac:dyDescent="0.2">
      <c r="A34" s="73">
        <v>2230400093</v>
      </c>
      <c r="B34" s="27" t="s">
        <v>47</v>
      </c>
      <c r="C34" s="16"/>
      <c r="D34" s="16"/>
      <c r="E34" s="16"/>
      <c r="F34" s="16"/>
      <c r="G34" s="16"/>
      <c r="H34" s="15">
        <f t="shared" si="0"/>
        <v>0</v>
      </c>
      <c r="I34" s="26" t="s">
        <v>14</v>
      </c>
      <c r="J34" s="18">
        <v>25.77</v>
      </c>
      <c r="K34" s="74">
        <f t="shared" si="1"/>
        <v>0</v>
      </c>
    </row>
    <row r="35" spans="1:11" x14ac:dyDescent="0.2">
      <c r="A35" s="73">
        <v>2230200007</v>
      </c>
      <c r="B35" s="15" t="s">
        <v>48</v>
      </c>
      <c r="C35" s="16"/>
      <c r="D35" s="16"/>
      <c r="E35" s="16"/>
      <c r="F35" s="16"/>
      <c r="G35" s="16"/>
      <c r="H35" s="15">
        <f t="shared" si="0"/>
        <v>0</v>
      </c>
      <c r="I35" s="26" t="s">
        <v>14</v>
      </c>
      <c r="J35" s="18">
        <v>26.77</v>
      </c>
      <c r="K35" s="74">
        <f t="shared" si="1"/>
        <v>0</v>
      </c>
    </row>
    <row r="36" spans="1:11" x14ac:dyDescent="0.2">
      <c r="A36" s="73">
        <v>2230400057</v>
      </c>
      <c r="B36" s="27" t="s">
        <v>49</v>
      </c>
      <c r="C36" s="53"/>
      <c r="D36" s="53"/>
      <c r="E36" s="53"/>
      <c r="F36" s="53"/>
      <c r="G36" s="53"/>
      <c r="H36" s="187">
        <f t="shared" si="0"/>
        <v>0</v>
      </c>
      <c r="I36" s="26" t="s">
        <v>14</v>
      </c>
      <c r="J36" s="22">
        <v>24.07</v>
      </c>
      <c r="K36" s="74">
        <f t="shared" si="1"/>
        <v>0</v>
      </c>
    </row>
    <row r="37" spans="1:11" ht="16" x14ac:dyDescent="0.2">
      <c r="A37" s="73">
        <v>2230700431</v>
      </c>
      <c r="B37" s="28" t="s">
        <v>50</v>
      </c>
      <c r="C37" s="16"/>
      <c r="D37" s="16"/>
      <c r="E37" s="16"/>
      <c r="F37" s="16"/>
      <c r="G37" s="16"/>
      <c r="H37" s="15">
        <f t="shared" si="0"/>
        <v>0</v>
      </c>
      <c r="I37" s="26" t="s">
        <v>14</v>
      </c>
      <c r="J37" s="18">
        <v>14.88</v>
      </c>
      <c r="K37" s="74">
        <f t="shared" si="1"/>
        <v>0</v>
      </c>
    </row>
    <row r="38" spans="1:11" ht="16" x14ac:dyDescent="0.2">
      <c r="A38" s="129">
        <v>2230400059</v>
      </c>
      <c r="B38" s="24" t="s">
        <v>51</v>
      </c>
      <c r="C38" s="185"/>
      <c r="D38" s="185"/>
      <c r="E38" s="185"/>
      <c r="F38" s="185"/>
      <c r="G38" s="186"/>
      <c r="H38" s="185">
        <f t="shared" si="0"/>
        <v>0</v>
      </c>
      <c r="I38" s="99" t="s">
        <v>14</v>
      </c>
      <c r="J38" s="20">
        <v>9.6300000000000008</v>
      </c>
      <c r="K38" s="130">
        <f t="shared" si="1"/>
        <v>0</v>
      </c>
    </row>
    <row r="39" spans="1:11" x14ac:dyDescent="0.2">
      <c r="A39" s="165">
        <v>2230400762</v>
      </c>
      <c r="B39" s="166" t="s">
        <v>52</v>
      </c>
      <c r="C39" s="16"/>
      <c r="D39" s="16"/>
      <c r="E39" s="16"/>
      <c r="F39" s="16"/>
      <c r="G39" s="17"/>
      <c r="H39" s="15">
        <f t="shared" si="0"/>
        <v>0</v>
      </c>
      <c r="I39" s="167" t="s">
        <v>14</v>
      </c>
      <c r="J39" s="23">
        <v>8.6</v>
      </c>
      <c r="K39" s="131">
        <f t="shared" si="1"/>
        <v>0</v>
      </c>
    </row>
    <row r="40" spans="1:11" ht="16" x14ac:dyDescent="0.2">
      <c r="A40" s="105">
        <v>2230400763</v>
      </c>
      <c r="B40" s="66" t="s">
        <v>53</v>
      </c>
      <c r="C40" s="16"/>
      <c r="D40" s="16"/>
      <c r="E40" s="16"/>
      <c r="F40" s="16"/>
      <c r="G40" s="17"/>
      <c r="H40" s="15">
        <f t="shared" si="0"/>
        <v>0</v>
      </c>
      <c r="I40" s="98">
        <v>750</v>
      </c>
      <c r="J40" s="22">
        <v>9.7100000000000009</v>
      </c>
      <c r="K40" s="106">
        <f t="shared" si="1"/>
        <v>0</v>
      </c>
    </row>
    <row r="41" spans="1:11" ht="16" x14ac:dyDescent="0.2">
      <c r="A41" s="188" t="s">
        <v>55</v>
      </c>
      <c r="B41" s="29" t="s">
        <v>56</v>
      </c>
      <c r="C41" s="10"/>
      <c r="D41" s="10"/>
      <c r="E41" s="10"/>
      <c r="F41" s="10"/>
      <c r="G41" s="11"/>
      <c r="H41" s="9">
        <f>SUM(C41:G41)</f>
        <v>0</v>
      </c>
      <c r="I41" s="40" t="s">
        <v>14</v>
      </c>
      <c r="J41" s="14">
        <v>3.75</v>
      </c>
      <c r="K41" s="75">
        <f>H41*J41</f>
        <v>0</v>
      </c>
    </row>
    <row r="42" spans="1:11" ht="17.25" customHeight="1" x14ac:dyDescent="0.2">
      <c r="A42" s="73">
        <v>2230400019</v>
      </c>
      <c r="B42" s="28" t="s">
        <v>57</v>
      </c>
      <c r="C42" s="16"/>
      <c r="D42" s="16"/>
      <c r="E42" s="16"/>
      <c r="F42" s="16"/>
      <c r="G42" s="17"/>
      <c r="H42" s="15">
        <f t="shared" ref="H42:H65" si="2">SUM(C42:G42)</f>
        <v>0</v>
      </c>
      <c r="I42" s="26" t="s">
        <v>14</v>
      </c>
      <c r="J42" s="18">
        <v>20.8</v>
      </c>
      <c r="K42" s="74">
        <f>H42*J42</f>
        <v>0</v>
      </c>
    </row>
    <row r="43" spans="1:11" ht="13.5" customHeight="1" x14ac:dyDescent="0.2">
      <c r="A43" s="73">
        <v>2230400024</v>
      </c>
      <c r="B43" s="28" t="s">
        <v>58</v>
      </c>
      <c r="C43" s="16"/>
      <c r="D43" s="16"/>
      <c r="E43" s="16"/>
      <c r="F43" s="16"/>
      <c r="G43" s="17"/>
      <c r="H43" s="15">
        <f t="shared" si="2"/>
        <v>0</v>
      </c>
      <c r="I43" s="26" t="s">
        <v>14</v>
      </c>
      <c r="J43" s="18">
        <v>7.51</v>
      </c>
      <c r="K43" s="74">
        <f>H43*J43</f>
        <v>0</v>
      </c>
    </row>
    <row r="44" spans="1:11" ht="16" x14ac:dyDescent="0.2">
      <c r="A44" s="73">
        <v>2230450019</v>
      </c>
      <c r="B44" s="28" t="s">
        <v>59</v>
      </c>
      <c r="C44" s="16"/>
      <c r="D44" s="16"/>
      <c r="E44" s="16"/>
      <c r="F44" s="16"/>
      <c r="G44" s="17"/>
      <c r="H44" s="15">
        <f t="shared" si="2"/>
        <v>0</v>
      </c>
      <c r="I44" s="26" t="s">
        <v>14</v>
      </c>
      <c r="J44" s="18">
        <v>20.88</v>
      </c>
      <c r="K44" s="75">
        <f t="shared" ref="K44:K65" si="3">H44*J44</f>
        <v>0</v>
      </c>
    </row>
    <row r="45" spans="1:11" ht="16" x14ac:dyDescent="0.2">
      <c r="A45" s="73">
        <v>2230400098</v>
      </c>
      <c r="B45" s="28" t="s">
        <v>60</v>
      </c>
      <c r="C45" s="16"/>
      <c r="D45" s="16"/>
      <c r="E45" s="16"/>
      <c r="F45" s="16"/>
      <c r="G45" s="17"/>
      <c r="H45" s="15">
        <f t="shared" si="2"/>
        <v>0</v>
      </c>
      <c r="I45" s="26" t="s">
        <v>14</v>
      </c>
      <c r="J45" s="18">
        <v>9</v>
      </c>
      <c r="K45" s="75">
        <f>H45*J45</f>
        <v>0</v>
      </c>
    </row>
    <row r="46" spans="1:11" ht="16" x14ac:dyDescent="0.2">
      <c r="A46" s="73">
        <v>2230550008</v>
      </c>
      <c r="B46" s="19" t="s">
        <v>61</v>
      </c>
      <c r="C46" s="16"/>
      <c r="D46" s="16"/>
      <c r="E46" s="16"/>
      <c r="F46" s="16"/>
      <c r="G46" s="17"/>
      <c r="H46" s="15">
        <f t="shared" si="2"/>
        <v>0</v>
      </c>
      <c r="I46" s="26" t="s">
        <v>14</v>
      </c>
      <c r="J46" s="18">
        <v>18.43</v>
      </c>
      <c r="K46" s="74">
        <f t="shared" si="3"/>
        <v>0</v>
      </c>
    </row>
    <row r="47" spans="1:11" ht="16" x14ac:dyDescent="0.2">
      <c r="A47" s="73">
        <v>2230550016</v>
      </c>
      <c r="B47" s="19" t="s">
        <v>62</v>
      </c>
      <c r="C47" s="16"/>
      <c r="D47" s="16"/>
      <c r="E47" s="16"/>
      <c r="F47" s="16"/>
      <c r="G47" s="17"/>
      <c r="H47" s="15">
        <f t="shared" si="2"/>
        <v>0</v>
      </c>
      <c r="I47" s="96">
        <v>750</v>
      </c>
      <c r="J47" s="22">
        <v>40.79</v>
      </c>
      <c r="K47" s="74">
        <f t="shared" si="3"/>
        <v>0</v>
      </c>
    </row>
    <row r="48" spans="1:11" ht="16" x14ac:dyDescent="0.2">
      <c r="A48" s="73">
        <v>2230650122</v>
      </c>
      <c r="B48" s="19" t="s">
        <v>63</v>
      </c>
      <c r="C48" s="16"/>
      <c r="D48" s="16"/>
      <c r="E48" s="16"/>
      <c r="F48" s="16"/>
      <c r="G48" s="17"/>
      <c r="H48" s="15">
        <f t="shared" si="2"/>
        <v>0</v>
      </c>
      <c r="I48" s="97" t="s">
        <v>14</v>
      </c>
      <c r="J48" s="18">
        <v>28.94</v>
      </c>
      <c r="K48" s="74">
        <f t="shared" si="3"/>
        <v>0</v>
      </c>
    </row>
    <row r="49" spans="1:25" ht="16" x14ac:dyDescent="0.2">
      <c r="A49" s="73">
        <v>2230650203</v>
      </c>
      <c r="B49" s="19" t="s">
        <v>64</v>
      </c>
      <c r="C49" s="16"/>
      <c r="D49" s="16"/>
      <c r="E49" s="16"/>
      <c r="F49" s="16"/>
      <c r="G49" s="17"/>
      <c r="H49" s="15">
        <f t="shared" si="2"/>
        <v>0</v>
      </c>
      <c r="I49" s="97" t="s">
        <v>14</v>
      </c>
      <c r="J49" s="18">
        <v>12.75</v>
      </c>
      <c r="K49" s="74">
        <f t="shared" si="3"/>
        <v>0</v>
      </c>
    </row>
    <row r="50" spans="1:25" ht="16" x14ac:dyDescent="0.2">
      <c r="A50" s="73">
        <v>2230650420</v>
      </c>
      <c r="B50" s="19" t="s">
        <v>65</v>
      </c>
      <c r="C50" s="16"/>
      <c r="D50" s="16"/>
      <c r="E50" s="16"/>
      <c r="F50" s="16"/>
      <c r="G50" s="17"/>
      <c r="H50" s="15">
        <f t="shared" si="2"/>
        <v>0</v>
      </c>
      <c r="I50" s="97" t="s">
        <v>14</v>
      </c>
      <c r="J50" s="18">
        <v>13.75</v>
      </c>
      <c r="K50" s="74">
        <f t="shared" si="3"/>
        <v>0</v>
      </c>
    </row>
    <row r="51" spans="1:25" ht="16" x14ac:dyDescent="0.2">
      <c r="A51" s="73">
        <v>2230650628</v>
      </c>
      <c r="B51" s="19" t="s">
        <v>66</v>
      </c>
      <c r="C51" s="16"/>
      <c r="D51" s="16"/>
      <c r="E51" s="16"/>
      <c r="F51" s="16"/>
      <c r="G51" s="17"/>
      <c r="H51" s="15">
        <f t="shared" si="2"/>
        <v>0</v>
      </c>
      <c r="I51" s="97" t="s">
        <v>14</v>
      </c>
      <c r="J51" s="18">
        <v>13.75</v>
      </c>
      <c r="K51" s="74">
        <f t="shared" si="3"/>
        <v>0</v>
      </c>
    </row>
    <row r="52" spans="1:25" ht="16" x14ac:dyDescent="0.2">
      <c r="A52" s="73">
        <v>2230650629</v>
      </c>
      <c r="B52" s="19" t="s">
        <v>67</v>
      </c>
      <c r="C52" s="16"/>
      <c r="D52" s="16"/>
      <c r="E52" s="16"/>
      <c r="F52" s="16"/>
      <c r="G52" s="17"/>
      <c r="H52" s="15">
        <f t="shared" si="2"/>
        <v>0</v>
      </c>
      <c r="I52" s="97" t="s">
        <v>14</v>
      </c>
      <c r="J52" s="18">
        <v>13.75</v>
      </c>
      <c r="K52" s="74">
        <f t="shared" si="3"/>
        <v>0</v>
      </c>
    </row>
    <row r="53" spans="1:25" ht="16" x14ac:dyDescent="0.2">
      <c r="A53" s="73">
        <v>2230650630</v>
      </c>
      <c r="B53" s="19" t="s">
        <v>68</v>
      </c>
      <c r="C53" s="16"/>
      <c r="D53" s="16"/>
      <c r="E53" s="16"/>
      <c r="F53" s="16"/>
      <c r="G53" s="17"/>
      <c r="H53" s="15">
        <f t="shared" si="2"/>
        <v>0</v>
      </c>
      <c r="I53" s="97" t="s">
        <v>14</v>
      </c>
      <c r="J53" s="18">
        <v>13.75</v>
      </c>
      <c r="K53" s="74">
        <f t="shared" si="3"/>
        <v>0</v>
      </c>
    </row>
    <row r="54" spans="1:25" ht="16" x14ac:dyDescent="0.2">
      <c r="A54" s="73">
        <v>2230650631</v>
      </c>
      <c r="B54" s="19" t="s">
        <v>69</v>
      </c>
      <c r="C54" s="16"/>
      <c r="D54" s="16"/>
      <c r="E54" s="16"/>
      <c r="F54" s="16"/>
      <c r="G54" s="17"/>
      <c r="H54" s="15">
        <f t="shared" si="2"/>
        <v>0</v>
      </c>
      <c r="I54" s="97" t="s">
        <v>14</v>
      </c>
      <c r="J54" s="18">
        <v>13.75</v>
      </c>
      <c r="K54" s="74">
        <f t="shared" si="3"/>
        <v>0</v>
      </c>
    </row>
    <row r="55" spans="1:25" ht="16" x14ac:dyDescent="0.2">
      <c r="A55" s="73">
        <v>2230650566</v>
      </c>
      <c r="B55" s="19" t="s">
        <v>70</v>
      </c>
      <c r="C55" s="16"/>
      <c r="D55" s="16"/>
      <c r="E55" s="16"/>
      <c r="F55" s="16"/>
      <c r="G55" s="17"/>
      <c r="H55" s="15">
        <f t="shared" si="2"/>
        <v>0</v>
      </c>
      <c r="I55" s="97" t="s">
        <v>14</v>
      </c>
      <c r="J55" s="18">
        <v>13.75</v>
      </c>
      <c r="K55" s="74">
        <f t="shared" si="3"/>
        <v>0</v>
      </c>
    </row>
    <row r="56" spans="1:25" x14ac:dyDescent="0.2">
      <c r="A56" s="73">
        <v>2230650567</v>
      </c>
      <c r="B56" s="15" t="s">
        <v>71</v>
      </c>
      <c r="C56" s="16"/>
      <c r="D56" s="16"/>
      <c r="E56" s="16"/>
      <c r="F56" s="16"/>
      <c r="G56" s="17"/>
      <c r="H56" s="15">
        <f t="shared" si="2"/>
        <v>0</v>
      </c>
      <c r="I56" s="97" t="s">
        <v>14</v>
      </c>
      <c r="J56" s="18">
        <v>13.75</v>
      </c>
      <c r="K56" s="74">
        <f t="shared" si="3"/>
        <v>0</v>
      </c>
    </row>
    <row r="57" spans="1:25" x14ac:dyDescent="0.2">
      <c r="A57" s="73">
        <v>2230700532</v>
      </c>
      <c r="B57" s="15" t="s">
        <v>72</v>
      </c>
      <c r="C57" s="16"/>
      <c r="D57" s="16"/>
      <c r="E57" s="16"/>
      <c r="F57" s="16"/>
      <c r="G57" s="17"/>
      <c r="H57" s="15">
        <f t="shared" si="2"/>
        <v>0</v>
      </c>
      <c r="I57" s="98">
        <v>750</v>
      </c>
      <c r="J57" s="22">
        <v>17.739999999999998</v>
      </c>
      <c r="K57" s="74">
        <f t="shared" si="3"/>
        <v>0</v>
      </c>
    </row>
    <row r="58" spans="1:25" x14ac:dyDescent="0.2">
      <c r="A58" s="73">
        <v>2230700633</v>
      </c>
      <c r="B58" s="15" t="s">
        <v>73</v>
      </c>
      <c r="C58" s="16"/>
      <c r="D58" s="16"/>
      <c r="E58" s="16"/>
      <c r="F58" s="16"/>
      <c r="G58" s="17"/>
      <c r="H58" s="15">
        <f t="shared" si="2"/>
        <v>0</v>
      </c>
      <c r="I58" s="26" t="s">
        <v>14</v>
      </c>
      <c r="J58" s="22">
        <v>18</v>
      </c>
      <c r="K58" s="74">
        <f t="shared" si="3"/>
        <v>0</v>
      </c>
    </row>
    <row r="59" spans="1:25" x14ac:dyDescent="0.2">
      <c r="A59" s="104">
        <v>2230700507</v>
      </c>
      <c r="B59" s="9" t="s">
        <v>74</v>
      </c>
      <c r="C59" s="10"/>
      <c r="D59" s="10"/>
      <c r="E59" s="10"/>
      <c r="F59" s="10"/>
      <c r="G59" s="11"/>
      <c r="H59" s="12">
        <f t="shared" si="2"/>
        <v>0</v>
      </c>
      <c r="I59" s="40" t="s">
        <v>14</v>
      </c>
      <c r="J59" s="23">
        <v>30.09</v>
      </c>
      <c r="K59" s="75">
        <f t="shared" si="3"/>
        <v>0</v>
      </c>
    </row>
    <row r="60" spans="1:25" ht="15.75" customHeight="1" x14ac:dyDescent="0.2">
      <c r="A60" s="73">
        <v>2230700143</v>
      </c>
      <c r="B60" s="15" t="s">
        <v>75</v>
      </c>
      <c r="C60" s="16"/>
      <c r="D60" s="16"/>
      <c r="E60" s="16"/>
      <c r="F60" s="32"/>
      <c r="G60" s="17"/>
      <c r="H60" s="12">
        <f t="shared" si="2"/>
        <v>0</v>
      </c>
      <c r="I60" s="26" t="s">
        <v>14</v>
      </c>
      <c r="J60" s="22">
        <v>30.09</v>
      </c>
      <c r="K60" s="74">
        <f t="shared" si="3"/>
        <v>0</v>
      </c>
      <c r="O60" s="168"/>
      <c r="P60" s="169"/>
      <c r="Q60" s="169"/>
      <c r="R60" s="170"/>
      <c r="S60" s="170"/>
      <c r="T60" s="171"/>
      <c r="U60" s="172"/>
      <c r="V60" s="173"/>
      <c r="W60" s="174"/>
      <c r="X60" s="170"/>
      <c r="Y60" s="169"/>
    </row>
    <row r="61" spans="1:25" x14ac:dyDescent="0.2">
      <c r="A61" s="73">
        <v>2230700666</v>
      </c>
      <c r="B61" s="15" t="s">
        <v>76</v>
      </c>
      <c r="C61" s="16"/>
      <c r="D61" s="16"/>
      <c r="E61" s="16"/>
      <c r="F61" s="16"/>
      <c r="G61" s="17"/>
      <c r="H61" s="12">
        <f t="shared" si="2"/>
        <v>0</v>
      </c>
      <c r="I61" s="96">
        <v>750</v>
      </c>
      <c r="J61" s="18">
        <v>23.19</v>
      </c>
      <c r="K61" s="74">
        <f t="shared" si="3"/>
        <v>0</v>
      </c>
    </row>
    <row r="62" spans="1:25" x14ac:dyDescent="0.2">
      <c r="A62" s="73">
        <v>2230700369</v>
      </c>
      <c r="B62" s="15" t="s">
        <v>77</v>
      </c>
      <c r="C62" s="16"/>
      <c r="D62" s="16"/>
      <c r="E62" s="16"/>
      <c r="F62" s="196"/>
      <c r="G62" s="17"/>
      <c r="H62" s="81">
        <f t="shared" si="2"/>
        <v>0</v>
      </c>
      <c r="I62" s="26" t="s">
        <v>14</v>
      </c>
      <c r="J62" s="18">
        <v>19.3</v>
      </c>
      <c r="K62" s="74">
        <f t="shared" si="3"/>
        <v>0</v>
      </c>
    </row>
    <row r="63" spans="1:25" x14ac:dyDescent="0.2">
      <c r="A63" s="73">
        <v>2230700462</v>
      </c>
      <c r="B63" s="15" t="s">
        <v>78</v>
      </c>
      <c r="C63" s="16"/>
      <c r="D63" s="16"/>
      <c r="E63" s="16"/>
      <c r="F63" s="196"/>
      <c r="G63" s="17"/>
      <c r="H63" s="12">
        <f t="shared" si="2"/>
        <v>0</v>
      </c>
      <c r="I63" s="26" t="s">
        <v>14</v>
      </c>
      <c r="J63" s="18">
        <v>36.75</v>
      </c>
      <c r="K63" s="74">
        <f t="shared" si="3"/>
        <v>0</v>
      </c>
    </row>
    <row r="64" spans="1:25" x14ac:dyDescent="0.2">
      <c r="A64" s="73">
        <v>2230700401</v>
      </c>
      <c r="B64" s="15" t="s">
        <v>147</v>
      </c>
      <c r="C64" s="16"/>
      <c r="D64" s="16"/>
      <c r="E64" s="16"/>
      <c r="F64" s="196"/>
      <c r="G64" s="17"/>
      <c r="H64" s="12">
        <f t="shared" si="2"/>
        <v>0</v>
      </c>
      <c r="I64" s="26" t="s">
        <v>14</v>
      </c>
      <c r="J64" s="18">
        <v>39.19</v>
      </c>
      <c r="K64" s="74">
        <f t="shared" si="3"/>
        <v>0</v>
      </c>
    </row>
    <row r="65" spans="1:11" x14ac:dyDescent="0.2">
      <c r="A65" s="73">
        <v>2230400785</v>
      </c>
      <c r="B65" s="15" t="s">
        <v>79</v>
      </c>
      <c r="C65" s="16"/>
      <c r="D65" s="16"/>
      <c r="E65" s="16"/>
      <c r="F65" s="196"/>
      <c r="G65" s="17"/>
      <c r="H65" s="12">
        <f t="shared" si="2"/>
        <v>0</v>
      </c>
      <c r="I65" s="96">
        <v>750</v>
      </c>
      <c r="J65" s="22">
        <v>24.76</v>
      </c>
      <c r="K65" s="74">
        <f t="shared" si="3"/>
        <v>0</v>
      </c>
    </row>
    <row r="67" spans="1:11" hidden="1" x14ac:dyDescent="0.2"/>
    <row r="69" spans="1:11" ht="16" thickBot="1" x14ac:dyDescent="0.25">
      <c r="A69" s="175"/>
      <c r="B69" s="176" t="s">
        <v>0</v>
      </c>
      <c r="C69" s="177"/>
      <c r="D69" s="177"/>
      <c r="E69" s="177"/>
      <c r="F69" s="177"/>
      <c r="G69" s="177"/>
      <c r="H69" s="177"/>
      <c r="I69" s="178" t="s">
        <v>1</v>
      </c>
      <c r="J69" s="179">
        <v>45597</v>
      </c>
      <c r="K69" s="180"/>
    </row>
    <row r="70" spans="1:11" ht="49" thickBot="1" x14ac:dyDescent="0.25">
      <c r="A70" s="68" t="s">
        <v>2</v>
      </c>
      <c r="B70" s="61" t="s">
        <v>54</v>
      </c>
      <c r="C70" s="1" t="s">
        <v>4</v>
      </c>
      <c r="D70" s="2" t="s">
        <v>5</v>
      </c>
      <c r="E70" s="2" t="s">
        <v>6</v>
      </c>
      <c r="F70" s="3" t="s">
        <v>7</v>
      </c>
      <c r="G70" s="4" t="s">
        <v>8</v>
      </c>
      <c r="H70" s="5" t="s">
        <v>9</v>
      </c>
      <c r="I70" s="62" t="s">
        <v>10</v>
      </c>
      <c r="J70" s="63" t="s">
        <v>11</v>
      </c>
      <c r="K70" s="64" t="s">
        <v>12</v>
      </c>
    </row>
    <row r="71" spans="1:11" ht="12.75" customHeight="1" x14ac:dyDescent="0.2">
      <c r="A71" s="101" t="s">
        <v>80</v>
      </c>
      <c r="B71" s="15" t="s">
        <v>81</v>
      </c>
      <c r="C71" s="16"/>
      <c r="D71" s="16"/>
      <c r="E71" s="16"/>
      <c r="F71" s="16"/>
      <c r="G71" s="17"/>
      <c r="H71" s="12">
        <f t="shared" ref="H71:H72" si="4">SUM(C71:G71)</f>
        <v>0</v>
      </c>
      <c r="I71" s="96" t="s">
        <v>14</v>
      </c>
      <c r="J71" s="18">
        <v>9</v>
      </c>
      <c r="K71" s="74">
        <f>H71*J71</f>
        <v>0</v>
      </c>
    </row>
    <row r="72" spans="1:11" ht="16" x14ac:dyDescent="0.2">
      <c r="A72" s="73">
        <v>2230400373</v>
      </c>
      <c r="B72" s="19" t="s">
        <v>82</v>
      </c>
      <c r="C72" s="16"/>
      <c r="D72" s="16"/>
      <c r="E72" s="16"/>
      <c r="F72" s="16"/>
      <c r="G72" s="17"/>
      <c r="H72" s="81">
        <f t="shared" si="4"/>
        <v>0</v>
      </c>
      <c r="I72" s="96" t="s">
        <v>14</v>
      </c>
      <c r="J72" s="18">
        <v>9.32</v>
      </c>
      <c r="K72" s="74">
        <f>H72*J72</f>
        <v>0</v>
      </c>
    </row>
    <row r="73" spans="1:11" ht="16" x14ac:dyDescent="0.2">
      <c r="A73" s="104">
        <v>2230250006</v>
      </c>
      <c r="B73" s="41" t="s">
        <v>84</v>
      </c>
      <c r="C73" s="42"/>
      <c r="D73" s="42"/>
      <c r="E73" s="10"/>
      <c r="F73" s="42"/>
      <c r="G73" s="43"/>
      <c r="H73" s="12">
        <f t="shared" ref="H73:H99" si="5">SUM(E73)</f>
        <v>0</v>
      </c>
      <c r="I73" s="40" t="s">
        <v>85</v>
      </c>
      <c r="J73" s="23">
        <v>65.239999999999995</v>
      </c>
      <c r="K73" s="75">
        <f>H73*J73</f>
        <v>0</v>
      </c>
    </row>
    <row r="74" spans="1:11" ht="16" x14ac:dyDescent="0.2">
      <c r="A74" s="104">
        <v>2230200006</v>
      </c>
      <c r="B74" s="41" t="s">
        <v>86</v>
      </c>
      <c r="C74" s="42"/>
      <c r="D74" s="42"/>
      <c r="E74" s="10"/>
      <c r="F74" s="42"/>
      <c r="G74" s="43"/>
      <c r="H74" s="81">
        <f t="shared" si="5"/>
        <v>0</v>
      </c>
      <c r="I74" s="40" t="s">
        <v>14</v>
      </c>
      <c r="J74" s="14">
        <v>6.53</v>
      </c>
      <c r="K74" s="75">
        <f>H74*J74</f>
        <v>0</v>
      </c>
    </row>
    <row r="75" spans="1:11" ht="16" x14ac:dyDescent="0.2">
      <c r="A75" s="73">
        <v>2230400037</v>
      </c>
      <c r="B75" s="19" t="s">
        <v>87</v>
      </c>
      <c r="C75" s="25"/>
      <c r="D75" s="25"/>
      <c r="E75" s="16"/>
      <c r="F75" s="25"/>
      <c r="G75" s="39"/>
      <c r="H75" s="81">
        <f t="shared" si="5"/>
        <v>0</v>
      </c>
      <c r="I75" s="26" t="s">
        <v>14</v>
      </c>
      <c r="J75" s="18">
        <v>2.79</v>
      </c>
      <c r="K75" s="74">
        <f t="shared" ref="K75:K99" si="6">H75*J75</f>
        <v>0</v>
      </c>
    </row>
    <row r="76" spans="1:11" ht="16" x14ac:dyDescent="0.2">
      <c r="A76" s="73">
        <v>2230400035</v>
      </c>
      <c r="B76" s="19" t="s">
        <v>88</v>
      </c>
      <c r="C76" s="25"/>
      <c r="D76" s="25"/>
      <c r="E76" s="16"/>
      <c r="F76" s="25"/>
      <c r="G76" s="39"/>
      <c r="H76" s="81">
        <f t="shared" si="5"/>
        <v>0</v>
      </c>
      <c r="I76" s="26" t="s">
        <v>14</v>
      </c>
      <c r="J76" s="18">
        <v>6.92</v>
      </c>
      <c r="K76" s="74">
        <f t="shared" si="6"/>
        <v>0</v>
      </c>
    </row>
    <row r="77" spans="1:11" ht="16" x14ac:dyDescent="0.2">
      <c r="A77" s="104">
        <v>2230450014</v>
      </c>
      <c r="B77" s="41" t="s">
        <v>89</v>
      </c>
      <c r="C77" s="42"/>
      <c r="D77" s="42"/>
      <c r="E77" s="10"/>
      <c r="F77" s="42"/>
      <c r="G77" s="43"/>
      <c r="H77" s="81">
        <f t="shared" si="5"/>
        <v>0</v>
      </c>
      <c r="I77" s="40" t="s">
        <v>14</v>
      </c>
      <c r="J77" s="23">
        <v>12.17</v>
      </c>
      <c r="K77" s="75">
        <f t="shared" si="6"/>
        <v>0</v>
      </c>
    </row>
    <row r="78" spans="1:11" ht="16" x14ac:dyDescent="0.2">
      <c r="A78" s="73">
        <v>2230350047</v>
      </c>
      <c r="B78" s="19" t="s">
        <v>90</v>
      </c>
      <c r="C78" s="25"/>
      <c r="D78" s="25"/>
      <c r="E78" s="16"/>
      <c r="F78" s="25"/>
      <c r="G78" s="39"/>
      <c r="H78" s="12">
        <f t="shared" si="5"/>
        <v>0</v>
      </c>
      <c r="I78" s="40" t="s">
        <v>85</v>
      </c>
      <c r="J78" s="18">
        <v>7.82</v>
      </c>
      <c r="K78" s="75">
        <f t="shared" si="6"/>
        <v>0</v>
      </c>
    </row>
    <row r="79" spans="1:11" ht="16" x14ac:dyDescent="0.2">
      <c r="A79" s="73">
        <v>2230350017</v>
      </c>
      <c r="B79" s="19" t="s">
        <v>91</v>
      </c>
      <c r="C79" s="25"/>
      <c r="D79" s="25"/>
      <c r="E79" s="16"/>
      <c r="F79" s="25"/>
      <c r="G79" s="39"/>
      <c r="H79" s="81">
        <f t="shared" si="5"/>
        <v>0</v>
      </c>
      <c r="I79" s="40" t="s">
        <v>85</v>
      </c>
      <c r="J79" s="22">
        <v>35.99</v>
      </c>
      <c r="K79" s="75">
        <f t="shared" si="6"/>
        <v>0</v>
      </c>
    </row>
    <row r="80" spans="1:11" ht="16" x14ac:dyDescent="0.2">
      <c r="A80" s="73">
        <v>2230400047</v>
      </c>
      <c r="B80" s="19" t="s">
        <v>92</v>
      </c>
      <c r="C80" s="25"/>
      <c r="D80" s="25"/>
      <c r="E80" s="16"/>
      <c r="F80" s="25"/>
      <c r="G80" s="39"/>
      <c r="H80" s="81">
        <f t="shared" si="5"/>
        <v>0</v>
      </c>
      <c r="I80" s="40" t="s">
        <v>85</v>
      </c>
      <c r="J80" s="22">
        <v>13.5</v>
      </c>
      <c r="K80" s="75">
        <f t="shared" si="6"/>
        <v>0</v>
      </c>
    </row>
    <row r="81" spans="1:11" ht="16" x14ac:dyDescent="0.2">
      <c r="A81" s="73">
        <v>2230450021</v>
      </c>
      <c r="B81" s="19" t="s">
        <v>93</v>
      </c>
      <c r="C81" s="25"/>
      <c r="D81" s="25"/>
      <c r="E81" s="16"/>
      <c r="F81" s="25"/>
      <c r="G81" s="39"/>
      <c r="H81" s="12">
        <f t="shared" si="5"/>
        <v>0</v>
      </c>
      <c r="I81" s="40" t="s">
        <v>85</v>
      </c>
      <c r="J81" s="18">
        <v>15.99</v>
      </c>
      <c r="K81" s="75">
        <f t="shared" si="6"/>
        <v>0</v>
      </c>
    </row>
    <row r="82" spans="1:11" ht="16" hidden="1" x14ac:dyDescent="0.2">
      <c r="A82" s="73">
        <v>2230450008</v>
      </c>
      <c r="B82" s="19" t="s">
        <v>93</v>
      </c>
      <c r="C82" s="25"/>
      <c r="D82" s="25"/>
      <c r="E82" s="16"/>
      <c r="F82" s="25"/>
      <c r="G82" s="39"/>
      <c r="H82" s="12">
        <f t="shared" si="5"/>
        <v>0</v>
      </c>
      <c r="I82" s="26" t="s">
        <v>14</v>
      </c>
      <c r="J82" s="18">
        <v>16.5</v>
      </c>
      <c r="K82" s="74">
        <f t="shared" si="6"/>
        <v>0</v>
      </c>
    </row>
    <row r="83" spans="1:11" ht="16" x14ac:dyDescent="0.2">
      <c r="A83" s="73">
        <v>2230450034</v>
      </c>
      <c r="B83" s="19" t="s">
        <v>94</v>
      </c>
      <c r="C83" s="25"/>
      <c r="D83" s="25"/>
      <c r="E83" s="16"/>
      <c r="F83" s="25"/>
      <c r="G83" s="39"/>
      <c r="H83" s="81">
        <f t="shared" si="5"/>
        <v>0</v>
      </c>
      <c r="I83" s="40" t="s">
        <v>85</v>
      </c>
      <c r="J83" s="18">
        <v>9</v>
      </c>
      <c r="K83" s="75">
        <f t="shared" si="6"/>
        <v>0</v>
      </c>
    </row>
    <row r="84" spans="1:11" ht="16" x14ac:dyDescent="0.2">
      <c r="A84" s="73">
        <v>2230450017</v>
      </c>
      <c r="B84" s="19" t="s">
        <v>95</v>
      </c>
      <c r="C84" s="25"/>
      <c r="D84" s="25"/>
      <c r="E84" s="16"/>
      <c r="F84" s="25"/>
      <c r="G84" s="39"/>
      <c r="H84" s="81">
        <f t="shared" si="5"/>
        <v>0</v>
      </c>
      <c r="I84" s="40" t="s">
        <v>85</v>
      </c>
      <c r="J84" s="18">
        <v>18.39</v>
      </c>
      <c r="K84" s="75">
        <f t="shared" si="6"/>
        <v>0</v>
      </c>
    </row>
    <row r="85" spans="1:11" ht="16" x14ac:dyDescent="0.2">
      <c r="A85" s="73">
        <v>2230450030</v>
      </c>
      <c r="B85" s="19" t="s">
        <v>96</v>
      </c>
      <c r="C85" s="25"/>
      <c r="D85" s="25"/>
      <c r="E85" s="16"/>
      <c r="F85" s="25"/>
      <c r="G85" s="39"/>
      <c r="H85" s="81">
        <f t="shared" si="5"/>
        <v>0</v>
      </c>
      <c r="I85" s="26" t="s">
        <v>85</v>
      </c>
      <c r="J85" s="18">
        <v>19.190000000000001</v>
      </c>
      <c r="K85" s="74">
        <f>H85*J85</f>
        <v>0</v>
      </c>
    </row>
    <row r="86" spans="1:11" ht="16" hidden="1" x14ac:dyDescent="0.2">
      <c r="A86" s="104">
        <v>2230450009</v>
      </c>
      <c r="B86" s="19" t="s">
        <v>96</v>
      </c>
      <c r="C86" s="42"/>
      <c r="D86" s="42"/>
      <c r="E86" s="10"/>
      <c r="F86" s="42"/>
      <c r="G86" s="43"/>
      <c r="H86" s="81">
        <f t="shared" si="5"/>
        <v>0</v>
      </c>
      <c r="I86" s="40" t="s">
        <v>14</v>
      </c>
      <c r="J86" s="14">
        <v>15.56</v>
      </c>
      <c r="K86" s="74">
        <f>H86*J86</f>
        <v>0</v>
      </c>
    </row>
    <row r="87" spans="1:11" ht="16" x14ac:dyDescent="0.2">
      <c r="A87" s="104">
        <v>2230500038</v>
      </c>
      <c r="B87" s="41" t="s">
        <v>97</v>
      </c>
      <c r="C87" s="42"/>
      <c r="D87" s="42"/>
      <c r="E87" s="10"/>
      <c r="F87" s="42"/>
      <c r="G87" s="43"/>
      <c r="H87" s="81">
        <f t="shared" si="5"/>
        <v>0</v>
      </c>
      <c r="I87" s="40" t="s">
        <v>85</v>
      </c>
      <c r="J87" s="14">
        <v>13.59</v>
      </c>
      <c r="K87" s="75">
        <f t="shared" si="6"/>
        <v>0</v>
      </c>
    </row>
    <row r="88" spans="1:11" ht="16" x14ac:dyDescent="0.2">
      <c r="A88" s="73">
        <v>2230550024</v>
      </c>
      <c r="B88" s="19" t="s">
        <v>98</v>
      </c>
      <c r="C88" s="25"/>
      <c r="D88" s="25"/>
      <c r="E88" s="16"/>
      <c r="F88" s="25"/>
      <c r="G88" s="39"/>
      <c r="H88" s="81">
        <f t="shared" si="5"/>
        <v>0</v>
      </c>
      <c r="I88" s="40" t="s">
        <v>85</v>
      </c>
      <c r="J88" s="18">
        <v>14.79</v>
      </c>
      <c r="K88" s="75">
        <f t="shared" si="6"/>
        <v>0</v>
      </c>
    </row>
    <row r="89" spans="1:11" ht="16" x14ac:dyDescent="0.2">
      <c r="A89" s="105">
        <v>2230550182</v>
      </c>
      <c r="B89" s="19" t="s">
        <v>99</v>
      </c>
      <c r="C89" s="25"/>
      <c r="D89" s="25"/>
      <c r="E89" s="16"/>
      <c r="F89" s="25"/>
      <c r="G89" s="39"/>
      <c r="H89" s="81">
        <f t="shared" si="5"/>
        <v>0</v>
      </c>
      <c r="I89" s="40" t="s">
        <v>100</v>
      </c>
      <c r="J89" s="22">
        <v>71.989999999999995</v>
      </c>
      <c r="K89" s="75">
        <f t="shared" si="6"/>
        <v>0</v>
      </c>
    </row>
    <row r="90" spans="1:11" ht="17" thickBot="1" x14ac:dyDescent="0.25">
      <c r="A90" s="73">
        <v>2230650123</v>
      </c>
      <c r="B90" s="19" t="s">
        <v>101</v>
      </c>
      <c r="C90" s="25"/>
      <c r="D90" s="25"/>
      <c r="E90" s="16"/>
      <c r="F90" s="25"/>
      <c r="G90" s="39"/>
      <c r="H90" s="81">
        <f t="shared" si="5"/>
        <v>0</v>
      </c>
      <c r="I90" s="40" t="s">
        <v>85</v>
      </c>
      <c r="J90" s="22">
        <v>39.74</v>
      </c>
      <c r="K90" s="75">
        <f t="shared" si="6"/>
        <v>0</v>
      </c>
    </row>
    <row r="91" spans="1:11" ht="17" hidden="1" thickBot="1" x14ac:dyDescent="0.25">
      <c r="A91" s="73">
        <v>2230650224</v>
      </c>
      <c r="B91" s="19" t="s">
        <v>141</v>
      </c>
      <c r="C91" s="25"/>
      <c r="D91" s="25"/>
      <c r="E91" s="16"/>
      <c r="F91" s="25"/>
      <c r="G91" s="39"/>
      <c r="H91" s="81">
        <f t="shared" si="5"/>
        <v>0</v>
      </c>
      <c r="I91" s="26" t="s">
        <v>14</v>
      </c>
      <c r="J91" s="22">
        <v>4.78</v>
      </c>
      <c r="K91" s="74">
        <f t="shared" si="6"/>
        <v>0</v>
      </c>
    </row>
    <row r="92" spans="1:11" ht="16" x14ac:dyDescent="0.2">
      <c r="A92" s="73">
        <v>2230650147</v>
      </c>
      <c r="B92" s="19" t="s">
        <v>102</v>
      </c>
      <c r="C92" s="25"/>
      <c r="D92" s="25"/>
      <c r="E92" s="16"/>
      <c r="F92" s="25"/>
      <c r="G92" s="39"/>
      <c r="H92" s="30">
        <f t="shared" si="5"/>
        <v>0</v>
      </c>
      <c r="I92" s="40" t="s">
        <v>85</v>
      </c>
      <c r="J92" s="22">
        <v>7.99</v>
      </c>
      <c r="K92" s="74">
        <f t="shared" si="6"/>
        <v>0</v>
      </c>
    </row>
    <row r="93" spans="1:11" ht="16" x14ac:dyDescent="0.2">
      <c r="A93" s="73">
        <v>2230650394</v>
      </c>
      <c r="B93" s="19" t="s">
        <v>102</v>
      </c>
      <c r="C93" s="25"/>
      <c r="D93" s="25"/>
      <c r="E93" s="16"/>
      <c r="F93" s="25"/>
      <c r="G93" s="39"/>
      <c r="H93" s="81">
        <f t="shared" si="5"/>
        <v>0</v>
      </c>
      <c r="I93" s="26" t="s">
        <v>14</v>
      </c>
      <c r="J93" s="18">
        <v>4.3</v>
      </c>
      <c r="K93" s="74">
        <f t="shared" si="6"/>
        <v>0</v>
      </c>
    </row>
    <row r="94" spans="1:11" ht="16" hidden="1" x14ac:dyDescent="0.2">
      <c r="A94" s="73">
        <v>2230650248</v>
      </c>
      <c r="B94" s="19" t="s">
        <v>103</v>
      </c>
      <c r="C94" s="25"/>
      <c r="D94" s="25"/>
      <c r="E94" s="16"/>
      <c r="F94" s="25"/>
      <c r="G94" s="39"/>
      <c r="H94" s="81">
        <f t="shared" si="5"/>
        <v>0</v>
      </c>
      <c r="I94" s="40" t="s">
        <v>85</v>
      </c>
      <c r="J94" s="22">
        <v>8.7899999999999991</v>
      </c>
      <c r="K94" s="106">
        <f t="shared" si="6"/>
        <v>0</v>
      </c>
    </row>
    <row r="95" spans="1:11" ht="16" hidden="1" x14ac:dyDescent="0.2">
      <c r="A95" s="73">
        <v>2230650126</v>
      </c>
      <c r="B95" s="19" t="s">
        <v>103</v>
      </c>
      <c r="C95" s="25"/>
      <c r="D95" s="25"/>
      <c r="E95" s="16"/>
      <c r="F95" s="25"/>
      <c r="G95" s="39"/>
      <c r="H95" s="81">
        <f t="shared" si="5"/>
        <v>0</v>
      </c>
      <c r="I95" s="40" t="s">
        <v>14</v>
      </c>
      <c r="J95" s="22">
        <v>4.3</v>
      </c>
      <c r="K95" s="106">
        <f t="shared" si="6"/>
        <v>0</v>
      </c>
    </row>
    <row r="96" spans="1:11" ht="16" x14ac:dyDescent="0.2">
      <c r="A96" s="73">
        <v>2230700299</v>
      </c>
      <c r="B96" s="19" t="s">
        <v>106</v>
      </c>
      <c r="C96" s="25"/>
      <c r="D96" s="25"/>
      <c r="E96" s="16"/>
      <c r="F96" s="25"/>
      <c r="G96" s="39"/>
      <c r="H96" s="81">
        <f t="shared" si="5"/>
        <v>0</v>
      </c>
      <c r="I96" s="40" t="s">
        <v>85</v>
      </c>
      <c r="J96" s="22">
        <v>45.59</v>
      </c>
      <c r="K96" s="74">
        <f t="shared" si="6"/>
        <v>0</v>
      </c>
    </row>
    <row r="97" spans="1:11" ht="16" x14ac:dyDescent="0.2">
      <c r="A97" s="73">
        <v>2230700698</v>
      </c>
      <c r="B97" s="19" t="s">
        <v>107</v>
      </c>
      <c r="C97" s="25"/>
      <c r="D97" s="25"/>
      <c r="E97" s="16"/>
      <c r="F97" s="25"/>
      <c r="G97" s="39"/>
      <c r="H97" s="81">
        <f t="shared" si="5"/>
        <v>0</v>
      </c>
      <c r="I97" s="40" t="s">
        <v>85</v>
      </c>
      <c r="J97" s="18">
        <v>29.59</v>
      </c>
      <c r="K97" s="74">
        <f t="shared" si="6"/>
        <v>0</v>
      </c>
    </row>
    <row r="98" spans="1:11" ht="16" x14ac:dyDescent="0.2">
      <c r="A98" s="73">
        <v>2230650216</v>
      </c>
      <c r="B98" s="19" t="s">
        <v>104</v>
      </c>
      <c r="C98" s="25"/>
      <c r="D98" s="25"/>
      <c r="E98" s="16"/>
      <c r="F98" s="25"/>
      <c r="G98" s="39"/>
      <c r="H98" s="12">
        <f t="shared" si="5"/>
        <v>0</v>
      </c>
      <c r="I98" s="40" t="s">
        <v>85</v>
      </c>
      <c r="J98" s="18">
        <v>27.99</v>
      </c>
      <c r="K98" s="74">
        <f t="shared" si="6"/>
        <v>0</v>
      </c>
    </row>
    <row r="99" spans="1:11" ht="17.25" customHeight="1" x14ac:dyDescent="0.2">
      <c r="A99" s="73">
        <v>2230700700</v>
      </c>
      <c r="B99" s="19" t="s">
        <v>105</v>
      </c>
      <c r="C99" s="25"/>
      <c r="D99" s="25"/>
      <c r="E99" s="16"/>
      <c r="F99" s="25"/>
      <c r="G99" s="39"/>
      <c r="H99" s="81">
        <f t="shared" si="5"/>
        <v>0</v>
      </c>
      <c r="I99" s="40" t="s">
        <v>85</v>
      </c>
      <c r="J99" s="22">
        <v>42.39</v>
      </c>
      <c r="K99" s="74">
        <f t="shared" si="6"/>
        <v>0</v>
      </c>
    </row>
    <row r="100" spans="1:11" ht="16" thickBot="1" x14ac:dyDescent="0.25"/>
    <row r="101" spans="1:11" ht="49" thickBot="1" x14ac:dyDescent="0.25">
      <c r="A101" s="67" t="s">
        <v>2</v>
      </c>
      <c r="B101" s="7" t="s">
        <v>83</v>
      </c>
      <c r="C101" s="35" t="s">
        <v>4</v>
      </c>
      <c r="D101" s="36" t="s">
        <v>5</v>
      </c>
      <c r="E101" s="2" t="s">
        <v>6</v>
      </c>
      <c r="F101" s="37" t="s">
        <v>7</v>
      </c>
      <c r="G101" s="38" t="s">
        <v>8</v>
      </c>
      <c r="H101" s="5" t="s">
        <v>9</v>
      </c>
      <c r="I101" s="6" t="s">
        <v>10</v>
      </c>
      <c r="J101" s="7" t="s">
        <v>11</v>
      </c>
      <c r="K101" s="8" t="s">
        <v>12</v>
      </c>
    </row>
    <row r="102" spans="1:11" ht="16" x14ac:dyDescent="0.2">
      <c r="A102" s="73">
        <v>2230700016</v>
      </c>
      <c r="B102" s="19" t="s">
        <v>145</v>
      </c>
      <c r="C102" s="25"/>
      <c r="D102" s="25"/>
      <c r="E102" s="16"/>
      <c r="F102" s="25"/>
      <c r="G102" s="39"/>
      <c r="H102" s="81">
        <f>SUM(E102)</f>
        <v>0</v>
      </c>
      <c r="I102" s="26" t="s">
        <v>85</v>
      </c>
      <c r="J102" s="18">
        <v>17.59</v>
      </c>
      <c r="K102" s="74">
        <f>H102*J102</f>
        <v>0</v>
      </c>
    </row>
    <row r="103" spans="1:11" ht="16" x14ac:dyDescent="0.2">
      <c r="A103" s="73">
        <v>2230700516</v>
      </c>
      <c r="B103" s="19" t="s">
        <v>108</v>
      </c>
      <c r="C103" s="25"/>
      <c r="D103" s="25"/>
      <c r="E103" s="16"/>
      <c r="F103" s="25"/>
      <c r="G103" s="39"/>
      <c r="H103" s="81">
        <f>SUM(E103)</f>
        <v>0</v>
      </c>
      <c r="I103" s="26" t="s">
        <v>14</v>
      </c>
      <c r="J103" s="22">
        <v>31.25</v>
      </c>
      <c r="K103" s="74">
        <f>H103*J103</f>
        <v>0</v>
      </c>
    </row>
    <row r="104" spans="1:11" ht="16" x14ac:dyDescent="0.2">
      <c r="A104" s="73">
        <v>2230700480</v>
      </c>
      <c r="B104" s="19" t="s">
        <v>109</v>
      </c>
      <c r="C104" s="25"/>
      <c r="D104" s="25"/>
      <c r="E104" s="16"/>
      <c r="F104" s="25"/>
      <c r="G104" s="39"/>
      <c r="H104" s="81">
        <f>SUM(E104)</f>
        <v>0</v>
      </c>
      <c r="I104" s="26" t="s">
        <v>85</v>
      </c>
      <c r="J104" s="22">
        <v>11.49</v>
      </c>
      <c r="K104" s="74">
        <f>H104*J104</f>
        <v>0</v>
      </c>
    </row>
    <row r="105" spans="1:11" ht="16" x14ac:dyDescent="0.2">
      <c r="A105" s="107">
        <v>2230400763</v>
      </c>
      <c r="B105" s="19" t="s">
        <v>110</v>
      </c>
      <c r="C105" s="25"/>
      <c r="D105" s="25"/>
      <c r="E105" s="16"/>
      <c r="F105" s="25"/>
      <c r="G105" s="25"/>
      <c r="H105" s="12">
        <f>SUM(E105)</f>
        <v>0</v>
      </c>
      <c r="I105" s="31" t="s">
        <v>14</v>
      </c>
      <c r="J105" s="18">
        <f>116.95/12</f>
        <v>9.7458333333333336</v>
      </c>
      <c r="K105" s="74">
        <f>H105*J105</f>
        <v>0</v>
      </c>
    </row>
    <row r="106" spans="1:11" ht="17" thickBot="1" x14ac:dyDescent="0.25">
      <c r="A106" s="108">
        <v>2230700056</v>
      </c>
      <c r="B106" s="102" t="s">
        <v>142</v>
      </c>
      <c r="C106" s="109"/>
      <c r="D106" s="109"/>
      <c r="E106" s="76"/>
      <c r="F106" s="109"/>
      <c r="G106" s="109"/>
      <c r="H106" s="100">
        <f>SUM(E106)</f>
        <v>0</v>
      </c>
      <c r="I106" s="65" t="s">
        <v>85</v>
      </c>
      <c r="J106" s="164">
        <v>45.01</v>
      </c>
      <c r="K106" s="78">
        <f>H106*J106</f>
        <v>0</v>
      </c>
    </row>
    <row r="107" spans="1:11" ht="16" x14ac:dyDescent="0.2">
      <c r="A107" s="79"/>
      <c r="B107" s="33"/>
      <c r="C107" s="33"/>
      <c r="D107" s="33"/>
      <c r="E107" s="33"/>
      <c r="F107" s="33"/>
      <c r="G107" s="33"/>
      <c r="H107" s="44" t="s">
        <v>111</v>
      </c>
      <c r="J107" s="127"/>
      <c r="K107" s="128">
        <f>SUM(K3:K40,K41:K72,K73:K105)</f>
        <v>0</v>
      </c>
    </row>
    <row r="108" spans="1:11" ht="16" thickBot="1" x14ac:dyDescent="0.25"/>
    <row r="109" spans="1:11" ht="49" thickBot="1" x14ac:dyDescent="0.25">
      <c r="A109" s="67" t="s">
        <v>2</v>
      </c>
      <c r="B109" s="45" t="s">
        <v>112</v>
      </c>
      <c r="C109" s="1" t="s">
        <v>4</v>
      </c>
      <c r="D109" s="2" t="s">
        <v>5</v>
      </c>
      <c r="E109" s="149" t="s">
        <v>6</v>
      </c>
      <c r="F109" s="3" t="s">
        <v>7</v>
      </c>
      <c r="G109" s="46" t="s">
        <v>8</v>
      </c>
      <c r="H109" s="47" t="s">
        <v>9</v>
      </c>
      <c r="I109" s="48" t="s">
        <v>10</v>
      </c>
      <c r="J109" s="7" t="s">
        <v>113</v>
      </c>
      <c r="K109" s="8" t="s">
        <v>12</v>
      </c>
    </row>
    <row r="110" spans="1:11" ht="16" x14ac:dyDescent="0.2">
      <c r="A110" s="150">
        <v>2210100007</v>
      </c>
      <c r="B110" s="181" t="s">
        <v>114</v>
      </c>
      <c r="C110" s="70"/>
      <c r="D110" s="70"/>
      <c r="E110" s="152"/>
      <c r="F110" s="70"/>
      <c r="G110" s="70"/>
      <c r="H110" s="72">
        <f>SUM(C110:D110,F110:G110)/24</f>
        <v>0</v>
      </c>
      <c r="I110" s="182" t="s">
        <v>42</v>
      </c>
      <c r="J110" s="155">
        <v>25.5</v>
      </c>
      <c r="K110" s="156">
        <f>H110*J110</f>
        <v>0</v>
      </c>
    </row>
    <row r="111" spans="1:11" ht="16" x14ac:dyDescent="0.2">
      <c r="A111" s="112">
        <v>2210100009</v>
      </c>
      <c r="B111" s="83" t="s">
        <v>115</v>
      </c>
      <c r="C111" s="16"/>
      <c r="D111" s="16"/>
      <c r="E111" s="25"/>
      <c r="F111" s="16"/>
      <c r="G111" s="16"/>
      <c r="H111" s="9">
        <f t="shared" ref="H111:H130" si="7">SUM(C111:D111,F111:G111)/24</f>
        <v>0</v>
      </c>
      <c r="I111" s="133" t="s">
        <v>42</v>
      </c>
      <c r="J111" s="50">
        <v>25.5</v>
      </c>
      <c r="K111" s="113">
        <f>H111*J111</f>
        <v>0</v>
      </c>
    </row>
    <row r="112" spans="1:11" ht="16" x14ac:dyDescent="0.2">
      <c r="A112" s="112">
        <v>2210100021</v>
      </c>
      <c r="B112" s="83" t="s">
        <v>116</v>
      </c>
      <c r="C112" s="16"/>
      <c r="D112" s="16"/>
      <c r="E112" s="25"/>
      <c r="F112" s="16"/>
      <c r="G112" s="16"/>
      <c r="H112" s="9">
        <f t="shared" si="7"/>
        <v>0</v>
      </c>
      <c r="I112" s="133" t="s">
        <v>42</v>
      </c>
      <c r="J112" s="50">
        <v>31.1</v>
      </c>
      <c r="K112" s="113">
        <f>H112*J112</f>
        <v>0</v>
      </c>
    </row>
    <row r="113" spans="1:11" ht="16" x14ac:dyDescent="0.2">
      <c r="A113" s="112">
        <v>2210100141</v>
      </c>
      <c r="B113" s="83" t="s">
        <v>117</v>
      </c>
      <c r="C113" s="16"/>
      <c r="D113" s="16"/>
      <c r="E113" s="25"/>
      <c r="F113" s="16"/>
      <c r="G113" s="16"/>
      <c r="H113" s="9">
        <f t="shared" si="7"/>
        <v>0</v>
      </c>
      <c r="I113" s="133" t="s">
        <v>42</v>
      </c>
      <c r="J113" s="50">
        <v>29.2</v>
      </c>
      <c r="K113" s="113">
        <f>H113*J113</f>
        <v>0</v>
      </c>
    </row>
    <row r="114" spans="1:11" ht="16" x14ac:dyDescent="0.2">
      <c r="A114" s="112">
        <v>2210100268</v>
      </c>
      <c r="B114" s="83" t="s">
        <v>118</v>
      </c>
      <c r="C114" s="16"/>
      <c r="D114" s="16"/>
      <c r="E114" s="69"/>
      <c r="F114" s="16"/>
      <c r="G114" s="17"/>
      <c r="H114" s="9">
        <f t="shared" si="7"/>
        <v>0</v>
      </c>
      <c r="I114" s="134" t="s">
        <v>42</v>
      </c>
      <c r="J114" s="50">
        <v>25.05</v>
      </c>
      <c r="K114" s="111">
        <f t="shared" ref="K114" si="8">H114*J114</f>
        <v>0</v>
      </c>
    </row>
    <row r="115" spans="1:11" ht="16" x14ac:dyDescent="0.2">
      <c r="A115" s="112">
        <v>2210150006</v>
      </c>
      <c r="B115" s="83" t="s">
        <v>119</v>
      </c>
      <c r="C115" s="16"/>
      <c r="D115" s="16"/>
      <c r="E115" s="25"/>
      <c r="F115" s="16"/>
      <c r="G115" s="16"/>
      <c r="H115" s="9">
        <f t="shared" si="7"/>
        <v>0</v>
      </c>
      <c r="I115" s="133" t="s">
        <v>42</v>
      </c>
      <c r="J115" s="50">
        <v>29.8</v>
      </c>
      <c r="K115" s="113">
        <f>H115*J115</f>
        <v>0</v>
      </c>
    </row>
    <row r="116" spans="1:11" ht="16" x14ac:dyDescent="0.2">
      <c r="A116" s="112">
        <v>2210150029</v>
      </c>
      <c r="B116" s="83" t="s">
        <v>120</v>
      </c>
      <c r="C116" s="16"/>
      <c r="D116" s="16"/>
      <c r="E116" s="69"/>
      <c r="F116" s="16"/>
      <c r="G116" s="17"/>
      <c r="H116" s="9">
        <f t="shared" si="7"/>
        <v>0</v>
      </c>
      <c r="I116" s="134" t="s">
        <v>42</v>
      </c>
      <c r="J116" s="50">
        <v>29.8</v>
      </c>
      <c r="K116" s="111">
        <f t="shared" ref="K116" si="9">H116*J116</f>
        <v>0</v>
      </c>
    </row>
    <row r="117" spans="1:11" ht="16" x14ac:dyDescent="0.2">
      <c r="A117" s="112">
        <v>2210150264</v>
      </c>
      <c r="B117" s="84" t="s">
        <v>144</v>
      </c>
      <c r="C117" s="16"/>
      <c r="D117" s="16"/>
      <c r="E117" s="69"/>
      <c r="F117" s="16"/>
      <c r="G117" s="17"/>
      <c r="H117" s="9">
        <f t="shared" si="7"/>
        <v>0</v>
      </c>
      <c r="I117" s="134" t="s">
        <v>42</v>
      </c>
      <c r="J117" s="50">
        <v>29.86</v>
      </c>
      <c r="K117" s="111">
        <f>H117*J117</f>
        <v>0</v>
      </c>
    </row>
    <row r="118" spans="1:11" ht="16" x14ac:dyDescent="0.2">
      <c r="A118" s="112">
        <v>2230310104</v>
      </c>
      <c r="B118" s="84" t="s">
        <v>121</v>
      </c>
      <c r="C118" s="16"/>
      <c r="D118" s="16"/>
      <c r="E118" s="69"/>
      <c r="F118" s="16"/>
      <c r="G118" s="17"/>
      <c r="H118" s="9">
        <f t="shared" si="7"/>
        <v>0</v>
      </c>
      <c r="I118" s="134" t="s">
        <v>42</v>
      </c>
      <c r="J118" s="50">
        <v>30</v>
      </c>
      <c r="K118" s="111">
        <f t="shared" ref="K118:K130" si="10">H118*J118</f>
        <v>0</v>
      </c>
    </row>
    <row r="119" spans="1:11" ht="16" x14ac:dyDescent="0.2">
      <c r="A119" s="112">
        <v>2010100099</v>
      </c>
      <c r="B119" s="84" t="s">
        <v>122</v>
      </c>
      <c r="C119" s="16"/>
      <c r="D119" s="16"/>
      <c r="E119" s="25"/>
      <c r="F119" s="16"/>
      <c r="G119" s="16"/>
      <c r="H119" s="9">
        <f t="shared" si="7"/>
        <v>0</v>
      </c>
      <c r="I119" s="133" t="s">
        <v>42</v>
      </c>
      <c r="J119" s="50">
        <v>30</v>
      </c>
      <c r="K119" s="113">
        <f t="shared" si="10"/>
        <v>0</v>
      </c>
    </row>
    <row r="120" spans="1:11" ht="16" x14ac:dyDescent="0.2">
      <c r="A120" s="112">
        <v>2010400126</v>
      </c>
      <c r="B120" s="84" t="s">
        <v>123</v>
      </c>
      <c r="C120" s="16"/>
      <c r="D120" s="16"/>
      <c r="E120" s="25"/>
      <c r="F120" s="16"/>
      <c r="G120" s="16"/>
      <c r="H120" s="9">
        <f t="shared" si="7"/>
        <v>0</v>
      </c>
      <c r="I120" s="133" t="s">
        <v>42</v>
      </c>
      <c r="J120" s="50">
        <v>29.4</v>
      </c>
      <c r="K120" s="113">
        <f t="shared" si="10"/>
        <v>0</v>
      </c>
    </row>
    <row r="121" spans="1:11" ht="16" x14ac:dyDescent="0.2">
      <c r="A121" s="112">
        <v>2210100016</v>
      </c>
      <c r="B121" s="85" t="s">
        <v>124</v>
      </c>
      <c r="C121" s="16"/>
      <c r="D121" s="16"/>
      <c r="E121" s="69"/>
      <c r="F121" s="16"/>
      <c r="G121" s="17"/>
      <c r="H121" s="9">
        <f t="shared" si="7"/>
        <v>0</v>
      </c>
      <c r="I121" s="134" t="s">
        <v>42</v>
      </c>
      <c r="J121" s="50">
        <v>26.95</v>
      </c>
      <c r="K121" s="111">
        <f t="shared" si="10"/>
        <v>0</v>
      </c>
    </row>
    <row r="122" spans="1:11" ht="16" x14ac:dyDescent="0.2">
      <c r="A122" s="112">
        <v>2210100018</v>
      </c>
      <c r="B122" s="84" t="s">
        <v>125</v>
      </c>
      <c r="C122" s="16"/>
      <c r="D122" s="16"/>
      <c r="E122" s="69"/>
      <c r="F122" s="16"/>
      <c r="G122" s="17"/>
      <c r="H122" s="9">
        <f t="shared" si="7"/>
        <v>0</v>
      </c>
      <c r="I122" s="134" t="s">
        <v>42</v>
      </c>
      <c r="J122" s="50">
        <v>26.95</v>
      </c>
      <c r="K122" s="111">
        <f t="shared" si="10"/>
        <v>0</v>
      </c>
    </row>
    <row r="123" spans="1:11" ht="16" x14ac:dyDescent="0.2">
      <c r="A123" s="112">
        <v>2210100053</v>
      </c>
      <c r="B123" s="84" t="s">
        <v>126</v>
      </c>
      <c r="C123" s="16"/>
      <c r="D123" s="16"/>
      <c r="E123" s="25"/>
      <c r="F123" s="16"/>
      <c r="G123" s="16"/>
      <c r="H123" s="9">
        <f t="shared" si="7"/>
        <v>0</v>
      </c>
      <c r="I123" s="133" t="s">
        <v>42</v>
      </c>
      <c r="J123" s="50">
        <v>30.4</v>
      </c>
      <c r="K123" s="113">
        <f t="shared" si="10"/>
        <v>0</v>
      </c>
    </row>
    <row r="124" spans="1:11" ht="16" x14ac:dyDescent="0.2">
      <c r="A124" s="112">
        <v>2210100074</v>
      </c>
      <c r="B124" s="84" t="s">
        <v>127</v>
      </c>
      <c r="C124" s="16"/>
      <c r="D124" s="16"/>
      <c r="E124" s="25"/>
      <c r="F124" s="16"/>
      <c r="G124" s="16"/>
      <c r="H124" s="9">
        <f t="shared" si="7"/>
        <v>0</v>
      </c>
      <c r="I124" s="133" t="s">
        <v>42</v>
      </c>
      <c r="J124" s="50">
        <v>30</v>
      </c>
      <c r="K124" s="113">
        <f t="shared" si="10"/>
        <v>0</v>
      </c>
    </row>
    <row r="125" spans="1:11" ht="16" x14ac:dyDescent="0.2">
      <c r="A125" s="112">
        <v>2210100091</v>
      </c>
      <c r="B125" s="84" t="s">
        <v>128</v>
      </c>
      <c r="C125" s="16"/>
      <c r="D125" s="16"/>
      <c r="E125" s="25"/>
      <c r="F125" s="16"/>
      <c r="G125" s="16"/>
      <c r="H125" s="9">
        <f t="shared" si="7"/>
        <v>0</v>
      </c>
      <c r="I125" s="133" t="s">
        <v>42</v>
      </c>
      <c r="J125" s="50">
        <v>45</v>
      </c>
      <c r="K125" s="113">
        <f t="shared" si="10"/>
        <v>0</v>
      </c>
    </row>
    <row r="126" spans="1:11" ht="16" x14ac:dyDescent="0.2">
      <c r="A126" s="112">
        <v>2210100151</v>
      </c>
      <c r="B126" s="84" t="s">
        <v>143</v>
      </c>
      <c r="C126" s="16"/>
      <c r="D126" s="16"/>
      <c r="E126" s="25"/>
      <c r="F126" s="16"/>
      <c r="G126" s="16"/>
      <c r="H126" s="9">
        <f t="shared" si="7"/>
        <v>0</v>
      </c>
      <c r="I126" s="133" t="s">
        <v>42</v>
      </c>
      <c r="J126" s="50">
        <v>30</v>
      </c>
      <c r="K126" s="113">
        <f t="shared" si="10"/>
        <v>0</v>
      </c>
    </row>
    <row r="127" spans="1:11" ht="16" x14ac:dyDescent="0.2">
      <c r="A127" s="112">
        <v>2210101187</v>
      </c>
      <c r="B127" s="92" t="s">
        <v>146</v>
      </c>
      <c r="C127" s="16"/>
      <c r="D127" s="16"/>
      <c r="E127" s="25"/>
      <c r="F127" s="16"/>
      <c r="G127" s="16"/>
      <c r="H127" s="9">
        <f t="shared" si="7"/>
        <v>0</v>
      </c>
      <c r="I127" s="134" t="s">
        <v>42</v>
      </c>
      <c r="J127" s="50">
        <v>25.6</v>
      </c>
      <c r="K127" s="113">
        <f t="shared" si="10"/>
        <v>0</v>
      </c>
    </row>
    <row r="128" spans="1:11" ht="16" x14ac:dyDescent="0.2">
      <c r="A128" s="112">
        <v>2210150007</v>
      </c>
      <c r="B128" s="84" t="s">
        <v>129</v>
      </c>
      <c r="C128" s="16"/>
      <c r="D128" s="16"/>
      <c r="E128" s="25"/>
      <c r="F128" s="16"/>
      <c r="G128" s="16"/>
      <c r="H128" s="9">
        <f t="shared" si="7"/>
        <v>0</v>
      </c>
      <c r="I128" s="133" t="s">
        <v>42</v>
      </c>
      <c r="J128" s="50">
        <v>30.22</v>
      </c>
      <c r="K128" s="113">
        <f t="shared" si="10"/>
        <v>0</v>
      </c>
    </row>
    <row r="129" spans="1:11" ht="16" x14ac:dyDescent="0.2">
      <c r="A129" s="112">
        <v>2210300010</v>
      </c>
      <c r="B129" s="84" t="s">
        <v>130</v>
      </c>
      <c r="C129" s="16"/>
      <c r="D129" s="16"/>
      <c r="E129" s="25"/>
      <c r="F129" s="16"/>
      <c r="G129" s="16"/>
      <c r="H129" s="9">
        <f t="shared" si="7"/>
        <v>0</v>
      </c>
      <c r="I129" s="133" t="s">
        <v>42</v>
      </c>
      <c r="J129" s="50">
        <v>25.5</v>
      </c>
      <c r="K129" s="113">
        <f t="shared" si="10"/>
        <v>0</v>
      </c>
    </row>
    <row r="130" spans="1:11" ht="17" thickBot="1" x14ac:dyDescent="0.25">
      <c r="A130" s="115">
        <v>2210150092</v>
      </c>
      <c r="B130" s="116" t="s">
        <v>137</v>
      </c>
      <c r="C130" s="76"/>
      <c r="D130" s="76"/>
      <c r="E130" s="120"/>
      <c r="F130" s="76"/>
      <c r="G130" s="77"/>
      <c r="H130" s="121">
        <f t="shared" si="7"/>
        <v>0</v>
      </c>
      <c r="I130" s="103" t="s">
        <v>42</v>
      </c>
      <c r="J130" s="117">
        <v>30.75</v>
      </c>
      <c r="K130" s="118">
        <f t="shared" si="10"/>
        <v>0</v>
      </c>
    </row>
    <row r="134" spans="1:11" ht="16" thickBot="1" x14ac:dyDescent="0.25">
      <c r="A134" s="143"/>
      <c r="B134" s="144" t="s">
        <v>0</v>
      </c>
      <c r="C134" s="145"/>
      <c r="D134" s="145"/>
      <c r="E134" s="145"/>
      <c r="F134" s="145"/>
      <c r="G134" s="145"/>
      <c r="H134" s="145"/>
      <c r="I134" s="146" t="s">
        <v>1</v>
      </c>
      <c r="J134" s="147">
        <v>45597</v>
      </c>
      <c r="K134" s="148"/>
    </row>
    <row r="135" spans="1:11" ht="33" thickBot="1" x14ac:dyDescent="0.25">
      <c r="A135" s="67" t="s">
        <v>2</v>
      </c>
      <c r="B135" s="88" t="s">
        <v>131</v>
      </c>
      <c r="C135" s="183" t="s">
        <v>4</v>
      </c>
      <c r="D135" s="2" t="s">
        <v>5</v>
      </c>
      <c r="E135" s="60"/>
      <c r="F135" s="3" t="s">
        <v>7</v>
      </c>
      <c r="G135" s="4" t="s">
        <v>8</v>
      </c>
      <c r="H135" s="5" t="s">
        <v>9</v>
      </c>
      <c r="I135" s="6" t="s">
        <v>10</v>
      </c>
      <c r="J135" s="7" t="s">
        <v>113</v>
      </c>
      <c r="K135" s="8" t="s">
        <v>12</v>
      </c>
    </row>
    <row r="136" spans="1:11" ht="16" x14ac:dyDescent="0.2">
      <c r="A136" s="112">
        <v>2210100007</v>
      </c>
      <c r="B136" s="82" t="s">
        <v>114</v>
      </c>
      <c r="C136" s="89"/>
      <c r="D136" s="10"/>
      <c r="E136" s="89"/>
      <c r="F136" s="10"/>
      <c r="G136" s="11"/>
      <c r="H136" s="9">
        <f>D136+F136+G136</f>
        <v>0</v>
      </c>
      <c r="I136" s="134" t="s">
        <v>42</v>
      </c>
      <c r="J136" s="49">
        <v>25.5</v>
      </c>
      <c r="K136" s="111">
        <f t="shared" ref="K136:K156" si="11">H136*J136</f>
        <v>0</v>
      </c>
    </row>
    <row r="137" spans="1:11" ht="16" x14ac:dyDescent="0.2">
      <c r="A137" s="110">
        <v>2210100009</v>
      </c>
      <c r="B137" s="83" t="s">
        <v>115</v>
      </c>
      <c r="C137" s="69"/>
      <c r="D137" s="16"/>
      <c r="E137" s="69"/>
      <c r="F137" s="16"/>
      <c r="G137" s="17"/>
      <c r="H137" s="9">
        <f t="shared" ref="H137:H156" si="12">D137+F137+G137</f>
        <v>0</v>
      </c>
      <c r="I137" s="134" t="s">
        <v>42</v>
      </c>
      <c r="J137" s="50">
        <v>25.5</v>
      </c>
      <c r="K137" s="111">
        <f t="shared" si="11"/>
        <v>0</v>
      </c>
    </row>
    <row r="138" spans="1:11" ht="16" x14ac:dyDescent="0.2">
      <c r="A138" s="114">
        <v>2210100021</v>
      </c>
      <c r="B138" s="83" t="s">
        <v>116</v>
      </c>
      <c r="C138" s="69"/>
      <c r="D138" s="16"/>
      <c r="E138" s="69"/>
      <c r="F138" s="16"/>
      <c r="G138" s="17"/>
      <c r="H138" s="9"/>
      <c r="I138" s="134" t="s">
        <v>42</v>
      </c>
      <c r="J138" s="50">
        <v>31.1</v>
      </c>
      <c r="K138" s="111">
        <f t="shared" si="11"/>
        <v>0</v>
      </c>
    </row>
    <row r="139" spans="1:11" ht="16" x14ac:dyDescent="0.2">
      <c r="A139" s="112">
        <v>2210100141</v>
      </c>
      <c r="B139" s="83" t="s">
        <v>117</v>
      </c>
      <c r="C139" s="69"/>
      <c r="D139" s="16"/>
      <c r="E139" s="69"/>
      <c r="F139" s="16"/>
      <c r="G139" s="17"/>
      <c r="H139" s="9">
        <f t="shared" si="12"/>
        <v>0</v>
      </c>
      <c r="I139" s="134" t="s">
        <v>42</v>
      </c>
      <c r="J139" s="50">
        <v>29.2</v>
      </c>
      <c r="K139" s="111">
        <f t="shared" si="11"/>
        <v>0</v>
      </c>
    </row>
    <row r="140" spans="1:11" ht="16" x14ac:dyDescent="0.2">
      <c r="A140" s="112">
        <v>2210100268</v>
      </c>
      <c r="B140" s="83" t="s">
        <v>118</v>
      </c>
      <c r="C140" s="69"/>
      <c r="D140" s="16"/>
      <c r="E140" s="69"/>
      <c r="F140" s="16"/>
      <c r="G140" s="17"/>
      <c r="H140" s="9">
        <f t="shared" si="12"/>
        <v>0</v>
      </c>
      <c r="I140" s="134" t="s">
        <v>42</v>
      </c>
      <c r="J140" s="50">
        <v>25.05</v>
      </c>
      <c r="K140" s="111">
        <f t="shared" si="11"/>
        <v>0</v>
      </c>
    </row>
    <row r="141" spans="1:11" ht="16" x14ac:dyDescent="0.2">
      <c r="A141" s="112">
        <v>2210150006</v>
      </c>
      <c r="B141" s="83" t="s">
        <v>119</v>
      </c>
      <c r="C141" s="69"/>
      <c r="D141" s="16"/>
      <c r="E141" s="69"/>
      <c r="F141" s="16"/>
      <c r="G141" s="17"/>
      <c r="H141" s="9">
        <f t="shared" si="12"/>
        <v>0</v>
      </c>
      <c r="I141" s="134" t="s">
        <v>42</v>
      </c>
      <c r="J141" s="50">
        <v>29.8</v>
      </c>
      <c r="K141" s="111">
        <f t="shared" si="11"/>
        <v>0</v>
      </c>
    </row>
    <row r="142" spans="1:11" ht="16" x14ac:dyDescent="0.2">
      <c r="A142" s="112">
        <v>2210150029</v>
      </c>
      <c r="B142" s="83" t="s">
        <v>120</v>
      </c>
      <c r="C142" s="69"/>
      <c r="D142" s="16"/>
      <c r="E142" s="69"/>
      <c r="F142" s="16"/>
      <c r="G142" s="17"/>
      <c r="H142" s="9">
        <f t="shared" si="12"/>
        <v>0</v>
      </c>
      <c r="I142" s="134" t="s">
        <v>42</v>
      </c>
      <c r="J142" s="50">
        <v>29.8</v>
      </c>
      <c r="K142" s="111">
        <f t="shared" si="11"/>
        <v>0</v>
      </c>
    </row>
    <row r="143" spans="1:11" ht="16" x14ac:dyDescent="0.2">
      <c r="A143" s="112">
        <v>2210150264</v>
      </c>
      <c r="B143" s="84" t="s">
        <v>144</v>
      </c>
      <c r="C143" s="69"/>
      <c r="D143" s="16"/>
      <c r="E143" s="69"/>
      <c r="F143" s="16"/>
      <c r="G143" s="17"/>
      <c r="H143" s="9">
        <f>D143+F143+G143</f>
        <v>0</v>
      </c>
      <c r="I143" s="134" t="s">
        <v>42</v>
      </c>
      <c r="J143" s="50">
        <v>29.86</v>
      </c>
      <c r="K143" s="111">
        <f>H143*J143</f>
        <v>0</v>
      </c>
    </row>
    <row r="144" spans="1:11" ht="16" x14ac:dyDescent="0.2">
      <c r="A144" s="112">
        <v>2230310104</v>
      </c>
      <c r="B144" s="84" t="s">
        <v>121</v>
      </c>
      <c r="C144" s="69"/>
      <c r="D144" s="16"/>
      <c r="E144" s="69"/>
      <c r="F144" s="16"/>
      <c r="G144" s="17"/>
      <c r="H144" s="9">
        <f t="shared" si="12"/>
        <v>0</v>
      </c>
      <c r="I144" s="134" t="s">
        <v>42</v>
      </c>
      <c r="J144" s="50">
        <v>30</v>
      </c>
      <c r="K144" s="111">
        <f t="shared" si="11"/>
        <v>0</v>
      </c>
    </row>
    <row r="145" spans="1:11" ht="16" x14ac:dyDescent="0.2">
      <c r="A145" s="112">
        <v>2230310089</v>
      </c>
      <c r="B145" s="84" t="s">
        <v>122</v>
      </c>
      <c r="C145" s="69"/>
      <c r="D145" s="16"/>
      <c r="E145" s="69"/>
      <c r="F145" s="16"/>
      <c r="G145" s="17"/>
      <c r="H145" s="9">
        <f t="shared" si="12"/>
        <v>0</v>
      </c>
      <c r="I145" s="134" t="s">
        <v>42</v>
      </c>
      <c r="J145" s="50">
        <v>30</v>
      </c>
      <c r="K145" s="111">
        <f t="shared" si="11"/>
        <v>0</v>
      </c>
    </row>
    <row r="146" spans="1:11" ht="16" x14ac:dyDescent="0.2">
      <c r="A146" s="112">
        <v>2010400126</v>
      </c>
      <c r="B146" s="84" t="s">
        <v>123</v>
      </c>
      <c r="C146" s="69"/>
      <c r="D146" s="16"/>
      <c r="E146" s="69"/>
      <c r="F146" s="16"/>
      <c r="G146" s="17"/>
      <c r="H146" s="9">
        <f t="shared" si="12"/>
        <v>0</v>
      </c>
      <c r="I146" s="134" t="s">
        <v>42</v>
      </c>
      <c r="J146" s="50">
        <v>29.4</v>
      </c>
      <c r="K146" s="111">
        <f t="shared" si="11"/>
        <v>0</v>
      </c>
    </row>
    <row r="147" spans="1:11" ht="16" x14ac:dyDescent="0.2">
      <c r="A147" s="112">
        <v>2210100016</v>
      </c>
      <c r="B147" s="85" t="s">
        <v>124</v>
      </c>
      <c r="C147" s="69"/>
      <c r="D147" s="16"/>
      <c r="E147" s="69"/>
      <c r="F147" s="16"/>
      <c r="G147" s="17"/>
      <c r="H147" s="9">
        <f t="shared" si="12"/>
        <v>0</v>
      </c>
      <c r="I147" s="134" t="s">
        <v>42</v>
      </c>
      <c r="J147" s="50">
        <v>26.95</v>
      </c>
      <c r="K147" s="111">
        <f t="shared" si="11"/>
        <v>0</v>
      </c>
    </row>
    <row r="148" spans="1:11" ht="16" x14ac:dyDescent="0.2">
      <c r="A148" s="112">
        <v>2210100018</v>
      </c>
      <c r="B148" s="84" t="s">
        <v>125</v>
      </c>
      <c r="C148" s="69"/>
      <c r="D148" s="16"/>
      <c r="E148" s="69"/>
      <c r="F148" s="16"/>
      <c r="G148" s="17"/>
      <c r="H148" s="9">
        <f t="shared" si="12"/>
        <v>0</v>
      </c>
      <c r="I148" s="134" t="s">
        <v>42</v>
      </c>
      <c r="J148" s="50">
        <v>26.95</v>
      </c>
      <c r="K148" s="111">
        <f t="shared" si="11"/>
        <v>0</v>
      </c>
    </row>
    <row r="149" spans="1:11" ht="16" x14ac:dyDescent="0.2">
      <c r="A149" s="112">
        <v>2210100053</v>
      </c>
      <c r="B149" s="84" t="s">
        <v>126</v>
      </c>
      <c r="C149" s="90"/>
      <c r="D149" s="53"/>
      <c r="E149" s="90"/>
      <c r="F149" s="53"/>
      <c r="G149" s="54"/>
      <c r="H149" s="9">
        <f t="shared" si="12"/>
        <v>0</v>
      </c>
      <c r="I149" s="135" t="s">
        <v>42</v>
      </c>
      <c r="J149" s="55">
        <v>30.4</v>
      </c>
      <c r="K149" s="119">
        <f t="shared" si="11"/>
        <v>0</v>
      </c>
    </row>
    <row r="150" spans="1:11" ht="16" x14ac:dyDescent="0.2">
      <c r="A150" s="110">
        <v>2210100074</v>
      </c>
      <c r="B150" s="91" t="s">
        <v>127</v>
      </c>
      <c r="C150" s="69"/>
      <c r="D150" s="16"/>
      <c r="E150" s="69"/>
      <c r="F150" s="16"/>
      <c r="G150" s="17"/>
      <c r="H150" s="9">
        <f t="shared" si="12"/>
        <v>0</v>
      </c>
      <c r="I150" s="134" t="s">
        <v>42</v>
      </c>
      <c r="J150" s="50">
        <v>30</v>
      </c>
      <c r="K150" s="111">
        <f t="shared" si="11"/>
        <v>0</v>
      </c>
    </row>
    <row r="151" spans="1:11" ht="16" x14ac:dyDescent="0.2">
      <c r="A151" s="112">
        <v>2210100091</v>
      </c>
      <c r="B151" s="84" t="s">
        <v>128</v>
      </c>
      <c r="C151" s="69"/>
      <c r="D151" s="16"/>
      <c r="E151" s="69"/>
      <c r="F151" s="16"/>
      <c r="G151" s="17"/>
      <c r="H151" s="9">
        <f t="shared" si="12"/>
        <v>0</v>
      </c>
      <c r="I151" s="134" t="s">
        <v>42</v>
      </c>
      <c r="J151" s="50">
        <v>45</v>
      </c>
      <c r="K151" s="111">
        <f t="shared" si="11"/>
        <v>0</v>
      </c>
    </row>
    <row r="152" spans="1:11" ht="16" x14ac:dyDescent="0.2">
      <c r="A152" s="112">
        <v>2210100151</v>
      </c>
      <c r="B152" s="84" t="s">
        <v>143</v>
      </c>
      <c r="C152" s="69"/>
      <c r="D152" s="16"/>
      <c r="E152" s="69"/>
      <c r="F152" s="16"/>
      <c r="G152" s="17"/>
      <c r="H152" s="9">
        <f t="shared" si="12"/>
        <v>0</v>
      </c>
      <c r="I152" s="134" t="s">
        <v>42</v>
      </c>
      <c r="J152" s="50">
        <v>30</v>
      </c>
      <c r="K152" s="111">
        <f t="shared" si="11"/>
        <v>0</v>
      </c>
    </row>
    <row r="153" spans="1:11" ht="16" x14ac:dyDescent="0.2">
      <c r="A153" s="112">
        <v>2210101187</v>
      </c>
      <c r="B153" s="92" t="s">
        <v>146</v>
      </c>
      <c r="C153" s="69"/>
      <c r="D153" s="16"/>
      <c r="E153" s="69"/>
      <c r="F153" s="16"/>
      <c r="G153" s="17"/>
      <c r="H153" s="9">
        <f t="shared" si="12"/>
        <v>0</v>
      </c>
      <c r="I153" s="134" t="s">
        <v>42</v>
      </c>
      <c r="J153" s="50">
        <v>25.6</v>
      </c>
      <c r="K153" s="111">
        <f t="shared" si="11"/>
        <v>0</v>
      </c>
    </row>
    <row r="154" spans="1:11" ht="16" x14ac:dyDescent="0.2">
      <c r="A154" s="112">
        <v>2210300010</v>
      </c>
      <c r="B154" s="92" t="s">
        <v>129</v>
      </c>
      <c r="C154" s="69"/>
      <c r="D154" s="16"/>
      <c r="E154" s="69"/>
      <c r="F154" s="16"/>
      <c r="G154" s="17"/>
      <c r="H154" s="9">
        <f t="shared" si="12"/>
        <v>0</v>
      </c>
      <c r="I154" s="134" t="s">
        <v>42</v>
      </c>
      <c r="J154" s="50">
        <v>30.22</v>
      </c>
      <c r="K154" s="111">
        <f t="shared" si="11"/>
        <v>0</v>
      </c>
    </row>
    <row r="155" spans="1:11" ht="16" x14ac:dyDescent="0.2">
      <c r="A155" s="112">
        <v>2210300010</v>
      </c>
      <c r="B155" s="84" t="s">
        <v>130</v>
      </c>
      <c r="C155" s="69"/>
      <c r="D155" s="16"/>
      <c r="E155" s="69"/>
      <c r="F155" s="16"/>
      <c r="G155" s="17"/>
      <c r="H155" s="15">
        <f t="shared" si="12"/>
        <v>0</v>
      </c>
      <c r="I155" s="96" t="s">
        <v>42</v>
      </c>
      <c r="J155" s="50">
        <v>25.5</v>
      </c>
      <c r="K155" s="113">
        <f t="shared" si="11"/>
        <v>0</v>
      </c>
    </row>
    <row r="156" spans="1:11" ht="17" thickBot="1" x14ac:dyDescent="0.25">
      <c r="A156" s="189">
        <v>2210150092</v>
      </c>
      <c r="B156" s="190" t="s">
        <v>137</v>
      </c>
      <c r="C156" s="191"/>
      <c r="D156" s="192"/>
      <c r="E156" s="191"/>
      <c r="F156" s="192"/>
      <c r="G156" s="193"/>
      <c r="H156" s="121">
        <f t="shared" si="12"/>
        <v>0</v>
      </c>
      <c r="I156" s="194" t="s">
        <v>42</v>
      </c>
      <c r="J156" s="195">
        <v>30.75</v>
      </c>
      <c r="K156" s="126">
        <f t="shared" si="11"/>
        <v>0</v>
      </c>
    </row>
    <row r="157" spans="1:11" ht="16" thickBot="1" x14ac:dyDescent="0.25">
      <c r="A157" s="86"/>
      <c r="B157" s="87"/>
      <c r="C157" s="33"/>
      <c r="D157" s="33"/>
      <c r="E157" s="33"/>
      <c r="F157" s="33"/>
      <c r="G157" s="33"/>
      <c r="H157" s="33"/>
      <c r="I157" s="34"/>
      <c r="J157" s="51"/>
      <c r="K157" s="51"/>
    </row>
    <row r="158" spans="1:11" ht="33" hidden="1" thickBot="1" x14ac:dyDescent="0.25">
      <c r="A158" s="67" t="s">
        <v>2</v>
      </c>
      <c r="B158" s="93" t="s">
        <v>132</v>
      </c>
      <c r="C158" s="52" t="s">
        <v>4</v>
      </c>
      <c r="D158" s="2" t="s">
        <v>5</v>
      </c>
      <c r="E158" s="60"/>
      <c r="F158" s="59"/>
      <c r="G158" s="56" t="s">
        <v>8</v>
      </c>
      <c r="H158" s="5" t="s">
        <v>9</v>
      </c>
      <c r="I158" s="6" t="s">
        <v>10</v>
      </c>
      <c r="J158" s="7" t="s">
        <v>133</v>
      </c>
      <c r="K158" s="8" t="s">
        <v>12</v>
      </c>
    </row>
    <row r="159" spans="1:11" x14ac:dyDescent="0.2">
      <c r="A159" s="150">
        <v>2210200045</v>
      </c>
      <c r="B159" s="151" t="s">
        <v>125</v>
      </c>
      <c r="C159" s="152"/>
      <c r="D159" s="70"/>
      <c r="E159" s="153"/>
      <c r="F159" s="153"/>
      <c r="G159" s="71"/>
      <c r="H159" s="30">
        <f>SUM(D159:G159)</f>
        <v>0</v>
      </c>
      <c r="I159" s="154" t="s">
        <v>134</v>
      </c>
      <c r="J159" s="155">
        <v>126.75</v>
      </c>
      <c r="K159" s="156">
        <f>H159*J159</f>
        <v>0</v>
      </c>
    </row>
    <row r="160" spans="1:11" x14ac:dyDescent="0.2">
      <c r="A160" s="110">
        <v>2210200262</v>
      </c>
      <c r="B160" s="94" t="s">
        <v>139</v>
      </c>
      <c r="C160" s="42"/>
      <c r="D160" s="10"/>
      <c r="E160" s="89"/>
      <c r="F160" s="89"/>
      <c r="G160" s="11"/>
      <c r="H160" s="12">
        <f>SUM(C160:G160)</f>
        <v>0</v>
      </c>
      <c r="I160" s="13" t="s">
        <v>134</v>
      </c>
      <c r="J160" s="49">
        <v>146.75</v>
      </c>
      <c r="K160" s="111">
        <f>H160*J160</f>
        <v>0</v>
      </c>
    </row>
    <row r="161" spans="1:11" x14ac:dyDescent="0.2">
      <c r="A161" s="112">
        <v>2210200072</v>
      </c>
      <c r="B161" s="95" t="s">
        <v>124</v>
      </c>
      <c r="C161" s="25"/>
      <c r="D161" s="16"/>
      <c r="E161" s="69"/>
      <c r="F161" s="69"/>
      <c r="G161" s="17"/>
      <c r="H161" s="12">
        <f t="shared" ref="H161:H165" si="13">SUM(D161:G161)</f>
        <v>0</v>
      </c>
      <c r="I161" s="13" t="s">
        <v>134</v>
      </c>
      <c r="J161" s="50">
        <v>126.75</v>
      </c>
      <c r="K161" s="111">
        <f t="shared" ref="K161:K165" si="14">H161*J161</f>
        <v>0</v>
      </c>
    </row>
    <row r="162" spans="1:11" x14ac:dyDescent="0.2">
      <c r="A162" s="122">
        <v>2210200083</v>
      </c>
      <c r="B162" s="95" t="s">
        <v>135</v>
      </c>
      <c r="C162" s="25"/>
      <c r="D162" s="16"/>
      <c r="E162" s="69"/>
      <c r="F162" s="69"/>
      <c r="G162" s="17"/>
      <c r="H162" s="12">
        <f t="shared" si="13"/>
        <v>0</v>
      </c>
      <c r="I162" s="13" t="s">
        <v>134</v>
      </c>
      <c r="J162" s="50">
        <v>151</v>
      </c>
      <c r="K162" s="111">
        <f t="shared" si="14"/>
        <v>0</v>
      </c>
    </row>
    <row r="163" spans="1:11" x14ac:dyDescent="0.2">
      <c r="A163" s="112">
        <v>2210200345</v>
      </c>
      <c r="B163" s="95" t="s">
        <v>136</v>
      </c>
      <c r="C163" s="25"/>
      <c r="D163" s="16"/>
      <c r="E163" s="69"/>
      <c r="F163" s="69"/>
      <c r="G163" s="17"/>
      <c r="H163" s="12">
        <f t="shared" si="13"/>
        <v>0</v>
      </c>
      <c r="I163" s="13" t="s">
        <v>134</v>
      </c>
      <c r="J163" s="50">
        <v>149</v>
      </c>
      <c r="K163" s="111">
        <f t="shared" si="14"/>
        <v>0</v>
      </c>
    </row>
    <row r="164" spans="1:11" x14ac:dyDescent="0.2">
      <c r="A164" s="157"/>
      <c r="B164" s="158"/>
      <c r="C164" s="25"/>
      <c r="D164" s="25"/>
      <c r="E164" s="25"/>
      <c r="F164" s="25"/>
      <c r="G164" s="39"/>
      <c r="H164" s="159"/>
      <c r="I164" s="160"/>
      <c r="J164" s="161"/>
      <c r="K164" s="162"/>
    </row>
    <row r="165" spans="1:11" ht="16" thickBot="1" x14ac:dyDescent="0.25">
      <c r="A165" s="123">
        <v>2210200485</v>
      </c>
      <c r="B165" s="124" t="s">
        <v>140</v>
      </c>
      <c r="C165" s="109"/>
      <c r="D165" s="76"/>
      <c r="E165" s="120"/>
      <c r="F165" s="120"/>
      <c r="G165" s="77"/>
      <c r="H165" s="100">
        <f t="shared" si="13"/>
        <v>0</v>
      </c>
      <c r="I165" s="125" t="s">
        <v>134</v>
      </c>
      <c r="J165" s="117">
        <v>129.75</v>
      </c>
      <c r="K165" s="126">
        <f t="shared" si="14"/>
        <v>0</v>
      </c>
    </row>
    <row r="166" spans="1:11" ht="16" x14ac:dyDescent="0.2">
      <c r="H166" s="57" t="s">
        <v>138</v>
      </c>
      <c r="I166" s="58"/>
      <c r="J166" s="136"/>
      <c r="K166" s="136">
        <f>SUM(K110:K131,K136:K155,K159:K165)</f>
        <v>0</v>
      </c>
    </row>
  </sheetData>
  <pageMargins left="0" right="0" top="0.25" bottom="0.25" header="0.3" footer="0.3"/>
  <pageSetup scale="78" orientation="portrait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49E79-9F55-4614-8D8D-A74D9E213338}">
  <sheetPr>
    <tabColor theme="2"/>
  </sheetPr>
  <dimension ref="A1:Y166"/>
  <sheetViews>
    <sheetView topLeftCell="A77" zoomScaleNormal="100" workbookViewId="0">
      <selection activeCell="B84" sqref="B84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6" max="6" width="9.1640625" style="80"/>
    <col min="8" max="8" width="12.5" bestFit="1" customWidth="1"/>
    <col min="9" max="9" width="11" bestFit="1" customWidth="1"/>
    <col min="10" max="10" width="8.83203125" bestFit="1" customWidth="1"/>
    <col min="11" max="11" width="14.1640625" customWidth="1"/>
    <col min="15" max="15" width="11.5" bestFit="1" customWidth="1"/>
  </cols>
  <sheetData>
    <row r="1" spans="1:11" ht="16" thickBot="1" x14ac:dyDescent="0.25">
      <c r="A1" s="137"/>
      <c r="B1" s="138" t="s">
        <v>0</v>
      </c>
      <c r="C1" s="139"/>
      <c r="D1" s="139"/>
      <c r="E1" s="139"/>
      <c r="F1" s="139"/>
      <c r="G1" s="139"/>
      <c r="H1" s="139"/>
      <c r="I1" s="140" t="s">
        <v>1</v>
      </c>
      <c r="J1" s="141">
        <v>46023</v>
      </c>
      <c r="K1" s="142"/>
    </row>
    <row r="2" spans="1:11" ht="49" thickBot="1" x14ac:dyDescent="0.25">
      <c r="A2" s="67" t="s">
        <v>2</v>
      </c>
      <c r="B2" s="47" t="s">
        <v>3</v>
      </c>
      <c r="C2" s="1" t="s">
        <v>4</v>
      </c>
      <c r="D2" s="2" t="s">
        <v>5</v>
      </c>
      <c r="E2" s="2" t="s">
        <v>6</v>
      </c>
      <c r="F2" s="221" t="s">
        <v>7</v>
      </c>
      <c r="G2" s="4" t="s">
        <v>8</v>
      </c>
      <c r="H2" s="5" t="s">
        <v>9</v>
      </c>
      <c r="I2" s="6" t="s">
        <v>10</v>
      </c>
      <c r="J2" s="7" t="s">
        <v>11</v>
      </c>
      <c r="K2" s="8" t="s">
        <v>12</v>
      </c>
    </row>
    <row r="3" spans="1:11" x14ac:dyDescent="0.2">
      <c r="A3" s="104">
        <v>2230200007</v>
      </c>
      <c r="B3" s="9" t="s">
        <v>48</v>
      </c>
      <c r="C3" s="70">
        <v>0</v>
      </c>
      <c r="D3" s="70">
        <v>0</v>
      </c>
      <c r="E3" s="70">
        <v>3</v>
      </c>
      <c r="F3" s="206">
        <v>1.5</v>
      </c>
      <c r="G3" s="70">
        <v>0</v>
      </c>
      <c r="H3" s="184">
        <f t="shared" ref="H3:H62" si="0">SUM(C3:G3)</f>
        <v>4.5</v>
      </c>
      <c r="I3" s="40" t="s">
        <v>14</v>
      </c>
      <c r="J3" s="14">
        <v>26.77</v>
      </c>
      <c r="K3" s="75">
        <f t="shared" ref="K3:K62" si="1">H3*J3</f>
        <v>120.465</v>
      </c>
    </row>
    <row r="4" spans="1:11" x14ac:dyDescent="0.2">
      <c r="A4" s="73">
        <v>2230250007</v>
      </c>
      <c r="B4" s="15" t="s">
        <v>32</v>
      </c>
      <c r="C4" s="16">
        <v>2</v>
      </c>
      <c r="D4" s="16">
        <v>0</v>
      </c>
      <c r="E4" s="16">
        <v>12</v>
      </c>
      <c r="F4" s="32">
        <v>0.5</v>
      </c>
      <c r="G4" s="16">
        <v>0</v>
      </c>
      <c r="H4" s="15">
        <f t="shared" si="0"/>
        <v>14.5</v>
      </c>
      <c r="I4" s="96">
        <v>750</v>
      </c>
      <c r="J4" s="22">
        <v>32</v>
      </c>
      <c r="K4" s="74">
        <f t="shared" si="1"/>
        <v>464</v>
      </c>
    </row>
    <row r="5" spans="1:11" x14ac:dyDescent="0.2">
      <c r="A5" s="73">
        <v>2230250010</v>
      </c>
      <c r="B5" s="15" t="s">
        <v>31</v>
      </c>
      <c r="C5" s="16">
        <v>2</v>
      </c>
      <c r="D5" s="16">
        <v>1</v>
      </c>
      <c r="E5" s="16">
        <v>3</v>
      </c>
      <c r="F5" s="32">
        <v>1</v>
      </c>
      <c r="G5" s="16">
        <v>0.75</v>
      </c>
      <c r="H5" s="15">
        <f t="shared" si="0"/>
        <v>7.75</v>
      </c>
      <c r="I5" s="26" t="s">
        <v>14</v>
      </c>
      <c r="J5" s="22">
        <v>50.24</v>
      </c>
      <c r="K5" s="74">
        <f t="shared" si="1"/>
        <v>389.36</v>
      </c>
    </row>
    <row r="6" spans="1:11" x14ac:dyDescent="0.2">
      <c r="A6" s="73">
        <v>2230350002</v>
      </c>
      <c r="B6" s="15" t="s">
        <v>13</v>
      </c>
      <c r="C6" s="16">
        <v>1.5</v>
      </c>
      <c r="D6" s="16">
        <v>0.75</v>
      </c>
      <c r="E6" s="16">
        <v>2</v>
      </c>
      <c r="F6" s="32">
        <v>2</v>
      </c>
      <c r="G6" s="16">
        <v>0.75</v>
      </c>
      <c r="H6" s="15">
        <f t="shared" si="0"/>
        <v>7</v>
      </c>
      <c r="I6" s="26" t="s">
        <v>14</v>
      </c>
      <c r="J6" s="18">
        <v>25</v>
      </c>
      <c r="K6" s="74">
        <f t="shared" si="1"/>
        <v>175</v>
      </c>
    </row>
    <row r="7" spans="1:11" ht="16" x14ac:dyDescent="0.2">
      <c r="A7" s="73">
        <v>2230400011</v>
      </c>
      <c r="B7" s="19" t="s">
        <v>21</v>
      </c>
      <c r="C7" s="16">
        <v>1.5</v>
      </c>
      <c r="D7" s="16">
        <v>1</v>
      </c>
      <c r="E7" s="16">
        <v>2</v>
      </c>
      <c r="F7" s="32">
        <v>0.5</v>
      </c>
      <c r="G7" s="16">
        <v>1</v>
      </c>
      <c r="H7" s="15">
        <f t="shared" si="0"/>
        <v>6</v>
      </c>
      <c r="I7" s="26" t="s">
        <v>29</v>
      </c>
      <c r="J7" s="18">
        <v>7.51</v>
      </c>
      <c r="K7" s="74">
        <f t="shared" si="1"/>
        <v>45.06</v>
      </c>
    </row>
    <row r="8" spans="1:11" hidden="1" x14ac:dyDescent="0.2">
      <c r="A8" s="73">
        <v>2230400012</v>
      </c>
      <c r="B8" s="15" t="s">
        <v>19</v>
      </c>
      <c r="C8" s="16"/>
      <c r="D8" s="16"/>
      <c r="E8" s="16"/>
      <c r="F8" s="32"/>
      <c r="G8" s="16"/>
      <c r="H8" s="15">
        <f t="shared" si="0"/>
        <v>0</v>
      </c>
      <c r="I8" s="26" t="s">
        <v>14</v>
      </c>
      <c r="J8" s="18">
        <v>22.48</v>
      </c>
      <c r="K8" s="74">
        <f t="shared" si="1"/>
        <v>0</v>
      </c>
    </row>
    <row r="9" spans="1:11" x14ac:dyDescent="0.2">
      <c r="A9" s="73">
        <v>2230400014</v>
      </c>
      <c r="B9" s="15" t="s">
        <v>15</v>
      </c>
      <c r="C9" s="16">
        <v>1.5</v>
      </c>
      <c r="D9" s="16">
        <v>0.25</v>
      </c>
      <c r="E9" s="16">
        <v>2</v>
      </c>
      <c r="F9" s="32">
        <v>1</v>
      </c>
      <c r="G9" s="16">
        <v>1</v>
      </c>
      <c r="H9" s="15">
        <f t="shared" si="0"/>
        <v>5.75</v>
      </c>
      <c r="I9" s="96">
        <v>750</v>
      </c>
      <c r="J9" s="18">
        <v>20.16</v>
      </c>
      <c r="K9" s="74">
        <f t="shared" si="1"/>
        <v>115.92</v>
      </c>
    </row>
    <row r="10" spans="1:11" x14ac:dyDescent="0.2">
      <c r="A10" s="73">
        <v>2230400016</v>
      </c>
      <c r="B10" s="15" t="s">
        <v>16</v>
      </c>
      <c r="C10" s="16">
        <v>2</v>
      </c>
      <c r="D10" s="16">
        <v>1</v>
      </c>
      <c r="E10" s="16">
        <v>2</v>
      </c>
      <c r="F10" s="32">
        <v>1</v>
      </c>
      <c r="G10" s="16">
        <v>1.5</v>
      </c>
      <c r="H10" s="15">
        <f t="shared" si="0"/>
        <v>7.5</v>
      </c>
      <c r="I10" s="96">
        <v>750</v>
      </c>
      <c r="J10" s="22">
        <v>27.19</v>
      </c>
      <c r="K10" s="74">
        <f t="shared" si="1"/>
        <v>203.92500000000001</v>
      </c>
    </row>
    <row r="11" spans="1:11" x14ac:dyDescent="0.2">
      <c r="A11" s="73">
        <v>2230400018</v>
      </c>
      <c r="B11" s="15" t="s">
        <v>20</v>
      </c>
      <c r="C11" s="16">
        <v>2</v>
      </c>
      <c r="D11" s="16">
        <v>1</v>
      </c>
      <c r="E11" s="16">
        <v>4</v>
      </c>
      <c r="F11" s="32">
        <v>2</v>
      </c>
      <c r="G11" s="16">
        <v>0.5</v>
      </c>
      <c r="H11" s="15">
        <f t="shared" si="0"/>
        <v>9.5</v>
      </c>
      <c r="I11" s="26" t="s">
        <v>29</v>
      </c>
      <c r="J11" s="18">
        <v>26.61</v>
      </c>
      <c r="K11" s="74">
        <f t="shared" si="1"/>
        <v>252.79499999999999</v>
      </c>
    </row>
    <row r="12" spans="1:11" ht="16" x14ac:dyDescent="0.2">
      <c r="A12" s="73">
        <v>2230400019</v>
      </c>
      <c r="B12" s="28" t="s">
        <v>57</v>
      </c>
      <c r="C12" s="16">
        <v>1.5</v>
      </c>
      <c r="D12" s="16">
        <v>1</v>
      </c>
      <c r="E12" s="16">
        <v>3</v>
      </c>
      <c r="F12" s="32">
        <v>1</v>
      </c>
      <c r="G12" s="16">
        <v>1</v>
      </c>
      <c r="H12" s="15">
        <f t="shared" si="0"/>
        <v>7.5</v>
      </c>
      <c r="I12" s="26" t="s">
        <v>14</v>
      </c>
      <c r="J12" s="18">
        <v>20.8</v>
      </c>
      <c r="K12" s="74">
        <f t="shared" si="1"/>
        <v>156</v>
      </c>
    </row>
    <row r="13" spans="1:11" ht="16" x14ac:dyDescent="0.2">
      <c r="A13" s="73">
        <v>2230400024</v>
      </c>
      <c r="B13" s="28" t="s">
        <v>58</v>
      </c>
      <c r="C13" s="16">
        <v>0</v>
      </c>
      <c r="D13" s="16">
        <v>1</v>
      </c>
      <c r="E13" s="16">
        <v>2</v>
      </c>
      <c r="F13" s="32">
        <v>0</v>
      </c>
      <c r="G13" s="16">
        <v>1</v>
      </c>
      <c r="H13" s="15">
        <f t="shared" si="0"/>
        <v>4</v>
      </c>
      <c r="I13" s="26" t="s">
        <v>14</v>
      </c>
      <c r="J13" s="18">
        <v>7.51</v>
      </c>
      <c r="K13" s="74">
        <f t="shared" si="1"/>
        <v>30.04</v>
      </c>
    </row>
    <row r="14" spans="1:11" x14ac:dyDescent="0.2">
      <c r="A14" s="73">
        <v>2230400026</v>
      </c>
      <c r="B14" s="15" t="s">
        <v>22</v>
      </c>
      <c r="C14" s="16">
        <v>0</v>
      </c>
      <c r="D14" s="16">
        <v>0</v>
      </c>
      <c r="E14" s="16">
        <v>3</v>
      </c>
      <c r="F14" s="32">
        <v>0</v>
      </c>
      <c r="G14" s="16">
        <v>0</v>
      </c>
      <c r="H14" s="15">
        <f t="shared" si="0"/>
        <v>3</v>
      </c>
      <c r="I14" s="26" t="s">
        <v>14</v>
      </c>
      <c r="J14" s="18">
        <v>7.87</v>
      </c>
      <c r="K14" s="74">
        <f t="shared" si="1"/>
        <v>23.61</v>
      </c>
    </row>
    <row r="15" spans="1:11" x14ac:dyDescent="0.2">
      <c r="A15" s="73">
        <v>2230400030</v>
      </c>
      <c r="B15" s="15" t="s">
        <v>18</v>
      </c>
      <c r="C15" s="16">
        <v>2</v>
      </c>
      <c r="D15" s="16">
        <v>0</v>
      </c>
      <c r="E15" s="16">
        <v>0</v>
      </c>
      <c r="F15" s="32">
        <v>2.5</v>
      </c>
      <c r="G15" s="16">
        <v>1.25</v>
      </c>
      <c r="H15" s="15">
        <f t="shared" si="0"/>
        <v>5.75</v>
      </c>
      <c r="I15" s="26" t="s">
        <v>14</v>
      </c>
      <c r="J15" s="18">
        <v>23.19</v>
      </c>
      <c r="K15" s="74">
        <f t="shared" si="1"/>
        <v>133.3425</v>
      </c>
    </row>
    <row r="16" spans="1:11" x14ac:dyDescent="0.2">
      <c r="A16" s="104">
        <v>2230400032</v>
      </c>
      <c r="B16" s="9" t="s">
        <v>17</v>
      </c>
      <c r="C16" s="16">
        <v>1</v>
      </c>
      <c r="D16" s="16">
        <v>1</v>
      </c>
      <c r="E16" s="16">
        <v>2</v>
      </c>
      <c r="F16" s="32">
        <v>1</v>
      </c>
      <c r="G16" s="16">
        <v>1.5</v>
      </c>
      <c r="H16" s="15">
        <f t="shared" si="0"/>
        <v>6.5</v>
      </c>
      <c r="I16" s="40" t="s">
        <v>14</v>
      </c>
      <c r="J16" s="23">
        <v>35.75</v>
      </c>
      <c r="K16" s="75">
        <f t="shared" si="1"/>
        <v>232.375</v>
      </c>
    </row>
    <row r="17" spans="1:11" x14ac:dyDescent="0.2">
      <c r="A17" s="73">
        <v>2230400057</v>
      </c>
      <c r="B17" s="27" t="s">
        <v>49</v>
      </c>
      <c r="C17" s="16">
        <v>1.5</v>
      </c>
      <c r="D17" s="16">
        <v>2</v>
      </c>
      <c r="E17" s="16">
        <v>6</v>
      </c>
      <c r="F17" s="32">
        <v>2.5</v>
      </c>
      <c r="G17" s="16">
        <v>2</v>
      </c>
      <c r="H17" s="15">
        <f t="shared" si="0"/>
        <v>14</v>
      </c>
      <c r="I17" s="26" t="s">
        <v>14</v>
      </c>
      <c r="J17" s="22">
        <v>24.07</v>
      </c>
      <c r="K17" s="75">
        <f t="shared" si="1"/>
        <v>336.98</v>
      </c>
    </row>
    <row r="18" spans="1:11" ht="16" x14ac:dyDescent="0.2">
      <c r="A18" s="129">
        <v>2230400059</v>
      </c>
      <c r="B18" s="24" t="s">
        <v>51</v>
      </c>
      <c r="C18" s="234">
        <v>0</v>
      </c>
      <c r="D18" s="234">
        <v>0</v>
      </c>
      <c r="E18" s="234">
        <v>0</v>
      </c>
      <c r="F18" s="244">
        <v>0.5</v>
      </c>
      <c r="G18" s="234">
        <v>0.25</v>
      </c>
      <c r="H18" s="234">
        <f t="shared" si="0"/>
        <v>0.75</v>
      </c>
      <c r="I18" s="99" t="s">
        <v>14</v>
      </c>
      <c r="J18" s="20">
        <v>9.6300000000000008</v>
      </c>
      <c r="K18" s="132">
        <f t="shared" si="1"/>
        <v>7.2225000000000001</v>
      </c>
    </row>
    <row r="19" spans="1:11" x14ac:dyDescent="0.2">
      <c r="A19" s="73">
        <v>2230400091</v>
      </c>
      <c r="B19" s="15" t="s">
        <v>36</v>
      </c>
      <c r="C19" s="16">
        <v>0.25</v>
      </c>
      <c r="D19" s="16">
        <v>1</v>
      </c>
      <c r="E19" s="16">
        <v>1</v>
      </c>
      <c r="F19" s="32">
        <v>0</v>
      </c>
      <c r="G19" s="16">
        <v>0.75</v>
      </c>
      <c r="H19" s="15">
        <f t="shared" si="0"/>
        <v>3</v>
      </c>
      <c r="I19" s="97" t="s">
        <v>14</v>
      </c>
      <c r="J19" s="18">
        <v>8.58</v>
      </c>
      <c r="K19" s="75">
        <f t="shared" si="1"/>
        <v>25.740000000000002</v>
      </c>
    </row>
    <row r="20" spans="1:11" x14ac:dyDescent="0.2">
      <c r="A20" s="73">
        <v>2230400092</v>
      </c>
      <c r="B20" s="15" t="s">
        <v>37</v>
      </c>
      <c r="C20" s="16">
        <v>0.75</v>
      </c>
      <c r="D20" s="16">
        <v>0</v>
      </c>
      <c r="E20" s="16">
        <v>1</v>
      </c>
      <c r="F20" s="32">
        <v>0.5</v>
      </c>
      <c r="G20" s="16">
        <v>0.75</v>
      </c>
      <c r="H20" s="15">
        <f t="shared" si="0"/>
        <v>3</v>
      </c>
      <c r="I20" s="97" t="s">
        <v>14</v>
      </c>
      <c r="J20" s="18">
        <v>8.58</v>
      </c>
      <c r="K20" s="75">
        <f t="shared" si="1"/>
        <v>25.740000000000002</v>
      </c>
    </row>
    <row r="21" spans="1:11" x14ac:dyDescent="0.2">
      <c r="A21" s="73">
        <v>2230400093</v>
      </c>
      <c r="B21" s="27" t="s">
        <v>47</v>
      </c>
      <c r="C21" s="16">
        <v>0.75</v>
      </c>
      <c r="D21" s="16">
        <v>0</v>
      </c>
      <c r="E21" s="16">
        <v>1</v>
      </c>
      <c r="F21" s="32">
        <v>1</v>
      </c>
      <c r="G21" s="16">
        <v>0.75</v>
      </c>
      <c r="H21" s="15">
        <f t="shared" si="0"/>
        <v>3.5</v>
      </c>
      <c r="I21" s="26" t="s">
        <v>14</v>
      </c>
      <c r="J21" s="18">
        <v>25.77</v>
      </c>
      <c r="K21" s="75">
        <f t="shared" si="1"/>
        <v>90.194999999999993</v>
      </c>
    </row>
    <row r="22" spans="1:11" x14ac:dyDescent="0.2">
      <c r="A22" s="73">
        <v>2230400097</v>
      </c>
      <c r="B22" s="15" t="s">
        <v>40</v>
      </c>
      <c r="C22" s="16">
        <v>1</v>
      </c>
      <c r="D22" s="16">
        <v>1.5</v>
      </c>
      <c r="E22" s="16">
        <v>2</v>
      </c>
      <c r="F22" s="32">
        <v>0.5</v>
      </c>
      <c r="G22" s="16">
        <v>0.75</v>
      </c>
      <c r="H22" s="15">
        <f t="shared" si="0"/>
        <v>5.75</v>
      </c>
      <c r="I22" s="26" t="s">
        <v>14</v>
      </c>
      <c r="J22" s="22">
        <v>9</v>
      </c>
      <c r="K22" s="75">
        <f t="shared" si="1"/>
        <v>51.75</v>
      </c>
    </row>
    <row r="23" spans="1:11" ht="27" customHeight="1" x14ac:dyDescent="0.2">
      <c r="A23" s="73">
        <v>2230400098</v>
      </c>
      <c r="B23" s="28" t="s">
        <v>60</v>
      </c>
      <c r="C23" s="16">
        <v>0</v>
      </c>
      <c r="D23" s="16">
        <v>0.75</v>
      </c>
      <c r="E23" s="16">
        <v>1</v>
      </c>
      <c r="F23" s="32">
        <v>1</v>
      </c>
      <c r="G23" s="16">
        <v>0.25</v>
      </c>
      <c r="H23" s="15">
        <f t="shared" si="0"/>
        <v>3</v>
      </c>
      <c r="I23" s="26" t="s">
        <v>14</v>
      </c>
      <c r="J23" s="18">
        <v>9</v>
      </c>
      <c r="K23" s="75">
        <f t="shared" si="1"/>
        <v>27</v>
      </c>
    </row>
    <row r="24" spans="1:11" x14ac:dyDescent="0.2">
      <c r="A24" s="73">
        <v>2230400099</v>
      </c>
      <c r="B24" s="15" t="s">
        <v>35</v>
      </c>
      <c r="C24" s="16">
        <v>1.5</v>
      </c>
      <c r="D24" s="16">
        <v>1</v>
      </c>
      <c r="E24" s="16">
        <v>2</v>
      </c>
      <c r="F24" s="32">
        <v>2</v>
      </c>
      <c r="G24" s="16">
        <v>1</v>
      </c>
      <c r="H24" s="15">
        <f t="shared" si="0"/>
        <v>7.5</v>
      </c>
      <c r="I24" s="97" t="s">
        <v>14</v>
      </c>
      <c r="J24" s="22">
        <v>35</v>
      </c>
      <c r="K24" s="75">
        <f t="shared" si="1"/>
        <v>262.5</v>
      </c>
    </row>
    <row r="25" spans="1:11" x14ac:dyDescent="0.2">
      <c r="A25" s="73">
        <v>2230400452</v>
      </c>
      <c r="B25" s="15" t="s">
        <v>23</v>
      </c>
      <c r="C25" s="16">
        <v>0.25</v>
      </c>
      <c r="D25" s="16">
        <v>2</v>
      </c>
      <c r="E25" s="16">
        <v>1</v>
      </c>
      <c r="F25" s="32">
        <v>0.5</v>
      </c>
      <c r="G25" s="16">
        <v>0.75</v>
      </c>
      <c r="H25" s="15">
        <f t="shared" si="0"/>
        <v>4.5</v>
      </c>
      <c r="I25" s="26" t="s">
        <v>14</v>
      </c>
      <c r="J25" s="22">
        <v>7.88</v>
      </c>
      <c r="K25" s="75">
        <f t="shared" si="1"/>
        <v>35.46</v>
      </c>
    </row>
    <row r="26" spans="1:11" x14ac:dyDescent="0.2">
      <c r="A26" s="73">
        <v>2230400559</v>
      </c>
      <c r="B26" s="15" t="s">
        <v>39</v>
      </c>
      <c r="C26" s="16">
        <v>2.5</v>
      </c>
      <c r="D26" s="16">
        <v>1</v>
      </c>
      <c r="E26" s="16">
        <v>1</v>
      </c>
      <c r="F26" s="32">
        <v>1</v>
      </c>
      <c r="G26" s="16">
        <v>1</v>
      </c>
      <c r="H26" s="15">
        <f t="shared" si="0"/>
        <v>6.5</v>
      </c>
      <c r="I26" s="96">
        <v>750</v>
      </c>
      <c r="J26" s="22">
        <v>17.75</v>
      </c>
      <c r="K26" s="75">
        <f t="shared" si="1"/>
        <v>115.375</v>
      </c>
    </row>
    <row r="27" spans="1:11" x14ac:dyDescent="0.2">
      <c r="A27" s="105">
        <v>2230400762</v>
      </c>
      <c r="B27" s="235" t="s">
        <v>52</v>
      </c>
      <c r="C27" s="16">
        <v>0.75</v>
      </c>
      <c r="D27" s="16">
        <v>0</v>
      </c>
      <c r="E27" s="16">
        <v>4</v>
      </c>
      <c r="F27" s="32">
        <v>1.5</v>
      </c>
      <c r="G27" s="16">
        <v>0.75</v>
      </c>
      <c r="H27" s="15">
        <f t="shared" si="0"/>
        <v>7</v>
      </c>
      <c r="I27" s="97" t="s">
        <v>14</v>
      </c>
      <c r="J27" s="22">
        <v>8.6</v>
      </c>
      <c r="K27" s="131">
        <f t="shared" si="1"/>
        <v>60.199999999999996</v>
      </c>
    </row>
    <row r="28" spans="1:11" ht="16" x14ac:dyDescent="0.2">
      <c r="A28" s="105">
        <v>2230400763</v>
      </c>
      <c r="B28" s="66" t="s">
        <v>53</v>
      </c>
      <c r="C28" s="16">
        <v>0</v>
      </c>
      <c r="D28" s="16">
        <v>0</v>
      </c>
      <c r="E28" s="16">
        <v>1</v>
      </c>
      <c r="F28" s="32">
        <v>0</v>
      </c>
      <c r="G28" s="16">
        <v>0</v>
      </c>
      <c r="H28" s="15">
        <f t="shared" si="0"/>
        <v>1</v>
      </c>
      <c r="I28" s="98">
        <v>750</v>
      </c>
      <c r="J28" s="22">
        <v>9.7100000000000009</v>
      </c>
      <c r="K28" s="131">
        <f t="shared" si="1"/>
        <v>9.7100000000000009</v>
      </c>
    </row>
    <row r="29" spans="1:11" x14ac:dyDescent="0.2">
      <c r="A29" s="73">
        <v>2230400785</v>
      </c>
      <c r="B29" s="15" t="s">
        <v>79</v>
      </c>
      <c r="C29" s="16">
        <v>2</v>
      </c>
      <c r="D29" s="16">
        <v>0.5</v>
      </c>
      <c r="E29" s="16">
        <v>3</v>
      </c>
      <c r="F29" s="32">
        <v>1</v>
      </c>
      <c r="G29" s="16">
        <v>2</v>
      </c>
      <c r="H29" s="15">
        <f t="shared" si="0"/>
        <v>8.5</v>
      </c>
      <c r="I29" s="96">
        <v>750</v>
      </c>
      <c r="J29" s="22">
        <v>24.76</v>
      </c>
      <c r="K29" s="75">
        <f t="shared" si="1"/>
        <v>210.46</v>
      </c>
    </row>
    <row r="30" spans="1:11" ht="16" x14ac:dyDescent="0.2">
      <c r="A30" s="73">
        <v>2230500001</v>
      </c>
      <c r="B30" s="19" t="s">
        <v>24</v>
      </c>
      <c r="C30" s="16">
        <v>0.5</v>
      </c>
      <c r="D30" s="16">
        <v>0.5</v>
      </c>
      <c r="E30" s="16">
        <v>1</v>
      </c>
      <c r="F30" s="32">
        <v>1</v>
      </c>
      <c r="G30" s="16">
        <v>0.75</v>
      </c>
      <c r="H30" s="15">
        <f t="shared" si="0"/>
        <v>3.75</v>
      </c>
      <c r="I30" s="26" t="s">
        <v>14</v>
      </c>
      <c r="J30" s="18">
        <v>37.659999999999997</v>
      </c>
      <c r="K30" s="74">
        <f t="shared" si="1"/>
        <v>141.22499999999999</v>
      </c>
    </row>
    <row r="31" spans="1:11" x14ac:dyDescent="0.2">
      <c r="A31" s="73">
        <v>2230500004</v>
      </c>
      <c r="B31" s="15" t="s">
        <v>25</v>
      </c>
      <c r="C31" s="53">
        <v>0.5</v>
      </c>
      <c r="D31" s="53">
        <v>0.25</v>
      </c>
      <c r="E31" s="53">
        <v>1</v>
      </c>
      <c r="F31" s="207">
        <v>1.5</v>
      </c>
      <c r="G31" s="53">
        <v>0.75</v>
      </c>
      <c r="H31" s="187">
        <f t="shared" si="0"/>
        <v>4</v>
      </c>
      <c r="I31" s="26" t="s">
        <v>14</v>
      </c>
      <c r="J31" s="18">
        <v>43.49</v>
      </c>
      <c r="K31" s="74">
        <f t="shared" si="1"/>
        <v>173.96</v>
      </c>
    </row>
    <row r="32" spans="1:11" ht="16" x14ac:dyDescent="0.2">
      <c r="A32" s="73">
        <v>2230550008</v>
      </c>
      <c r="B32" s="19" t="s">
        <v>61</v>
      </c>
      <c r="C32" s="16">
        <v>0.5</v>
      </c>
      <c r="D32" s="16">
        <v>1</v>
      </c>
      <c r="E32" s="16">
        <v>2</v>
      </c>
      <c r="F32" s="32">
        <v>1.5</v>
      </c>
      <c r="G32" s="16">
        <v>1.5</v>
      </c>
      <c r="H32" s="15">
        <f t="shared" si="0"/>
        <v>6.5</v>
      </c>
      <c r="I32" s="26" t="s">
        <v>14</v>
      </c>
      <c r="J32" s="18">
        <v>18.43</v>
      </c>
      <c r="K32" s="74">
        <f t="shared" si="1"/>
        <v>119.795</v>
      </c>
    </row>
    <row r="33" spans="1:11" ht="16" x14ac:dyDescent="0.2">
      <c r="A33" s="73">
        <v>2230550016</v>
      </c>
      <c r="B33" s="19" t="s">
        <v>62</v>
      </c>
      <c r="C33" s="10">
        <v>0.5</v>
      </c>
      <c r="D33" s="10">
        <v>1</v>
      </c>
      <c r="E33" s="10">
        <v>6</v>
      </c>
      <c r="F33" s="209">
        <v>1</v>
      </c>
      <c r="G33" s="11">
        <v>2</v>
      </c>
      <c r="H33" s="9">
        <f t="shared" si="0"/>
        <v>10.5</v>
      </c>
      <c r="I33" s="96">
        <v>750</v>
      </c>
      <c r="J33" s="22">
        <v>40.79</v>
      </c>
      <c r="K33" s="74">
        <f t="shared" si="1"/>
        <v>428.29500000000002</v>
      </c>
    </row>
    <row r="34" spans="1:11" x14ac:dyDescent="0.2">
      <c r="A34" s="165">
        <v>2230650044</v>
      </c>
      <c r="B34" s="236" t="s">
        <v>27</v>
      </c>
      <c r="C34" s="16">
        <v>2</v>
      </c>
      <c r="D34" s="16">
        <v>1</v>
      </c>
      <c r="E34" s="16">
        <v>1</v>
      </c>
      <c r="F34" s="32">
        <v>1</v>
      </c>
      <c r="G34" s="17">
        <v>0.5</v>
      </c>
      <c r="H34" s="15">
        <f t="shared" si="0"/>
        <v>5.5</v>
      </c>
      <c r="I34" s="167" t="s">
        <v>14</v>
      </c>
      <c r="J34" s="23">
        <v>22.5</v>
      </c>
      <c r="K34" s="131">
        <f t="shared" si="1"/>
        <v>123.75</v>
      </c>
    </row>
    <row r="35" spans="1:11" ht="16" x14ac:dyDescent="0.2">
      <c r="A35" s="73">
        <v>2230650122</v>
      </c>
      <c r="B35" s="19" t="s">
        <v>63</v>
      </c>
      <c r="C35" s="16">
        <v>2</v>
      </c>
      <c r="D35" s="16">
        <v>0.25</v>
      </c>
      <c r="E35" s="16">
        <v>4</v>
      </c>
      <c r="F35" s="32">
        <v>1.5</v>
      </c>
      <c r="G35" s="17">
        <v>0.5</v>
      </c>
      <c r="H35" s="15">
        <f t="shared" si="0"/>
        <v>8.25</v>
      </c>
      <c r="I35" s="97" t="s">
        <v>14</v>
      </c>
      <c r="J35" s="18">
        <v>28.94</v>
      </c>
      <c r="K35" s="74">
        <f t="shared" si="1"/>
        <v>238.75500000000002</v>
      </c>
    </row>
    <row r="36" spans="1:11" ht="16" x14ac:dyDescent="0.2">
      <c r="A36" s="104">
        <v>2230650203</v>
      </c>
      <c r="B36" s="41" t="s">
        <v>64</v>
      </c>
      <c r="C36" s="10">
        <v>2</v>
      </c>
      <c r="D36" s="10">
        <v>0</v>
      </c>
      <c r="E36" s="10">
        <v>2</v>
      </c>
      <c r="F36" s="209">
        <v>1.5</v>
      </c>
      <c r="G36" s="11">
        <v>3</v>
      </c>
      <c r="H36" s="9">
        <f t="shared" si="0"/>
        <v>8.5</v>
      </c>
      <c r="I36" s="167" t="s">
        <v>14</v>
      </c>
      <c r="J36" s="14">
        <v>12.75</v>
      </c>
      <c r="K36" s="75">
        <f t="shared" si="1"/>
        <v>108.375</v>
      </c>
    </row>
    <row r="37" spans="1:11" ht="16" x14ac:dyDescent="0.2">
      <c r="A37" s="73">
        <v>2230650420</v>
      </c>
      <c r="B37" s="19" t="s">
        <v>65</v>
      </c>
      <c r="C37" s="16">
        <v>2</v>
      </c>
      <c r="D37" s="16">
        <v>1</v>
      </c>
      <c r="E37" s="16">
        <v>4</v>
      </c>
      <c r="F37" s="32">
        <v>2</v>
      </c>
      <c r="G37" s="17">
        <v>0.75</v>
      </c>
      <c r="H37" s="15">
        <f t="shared" si="0"/>
        <v>9.75</v>
      </c>
      <c r="I37" s="97" t="s">
        <v>14</v>
      </c>
      <c r="J37" s="18">
        <v>13.75</v>
      </c>
      <c r="K37" s="74">
        <f t="shared" si="1"/>
        <v>134.0625</v>
      </c>
    </row>
    <row r="38" spans="1:11" ht="16" x14ac:dyDescent="0.2">
      <c r="A38" s="73">
        <v>2230650566</v>
      </c>
      <c r="B38" s="19" t="s">
        <v>70</v>
      </c>
      <c r="C38" s="16">
        <v>1</v>
      </c>
      <c r="D38" s="16">
        <v>1</v>
      </c>
      <c r="E38" s="16">
        <v>3</v>
      </c>
      <c r="F38" s="32">
        <v>2.5</v>
      </c>
      <c r="G38" s="17">
        <v>2</v>
      </c>
      <c r="H38" s="15">
        <f t="shared" si="0"/>
        <v>9.5</v>
      </c>
      <c r="I38" s="97" t="s">
        <v>14</v>
      </c>
      <c r="J38" s="18">
        <v>13.75</v>
      </c>
      <c r="K38" s="74">
        <f t="shared" si="1"/>
        <v>130.625</v>
      </c>
    </row>
    <row r="39" spans="1:11" x14ac:dyDescent="0.2">
      <c r="A39" s="73">
        <v>2230650567</v>
      </c>
      <c r="B39" s="15" t="s">
        <v>71</v>
      </c>
      <c r="C39" s="16">
        <v>2.5</v>
      </c>
      <c r="D39" s="16">
        <v>1</v>
      </c>
      <c r="E39" s="16">
        <v>2</v>
      </c>
      <c r="F39" s="32">
        <v>2.5</v>
      </c>
      <c r="G39" s="17">
        <v>0.5</v>
      </c>
      <c r="H39" s="15">
        <f t="shared" si="0"/>
        <v>8.5</v>
      </c>
      <c r="I39" s="97" t="s">
        <v>14</v>
      </c>
      <c r="J39" s="18">
        <v>13.75</v>
      </c>
      <c r="K39" s="75">
        <f t="shared" si="1"/>
        <v>116.875</v>
      </c>
    </row>
    <row r="40" spans="1:11" ht="16" x14ac:dyDescent="0.2">
      <c r="A40" s="73">
        <v>2230650628</v>
      </c>
      <c r="B40" s="19" t="s">
        <v>66</v>
      </c>
      <c r="C40" s="16">
        <v>2.5</v>
      </c>
      <c r="D40" s="16">
        <v>1</v>
      </c>
      <c r="E40" s="16">
        <v>2</v>
      </c>
      <c r="F40" s="32">
        <v>1.5</v>
      </c>
      <c r="G40" s="17">
        <v>1.5</v>
      </c>
      <c r="H40" s="15">
        <f t="shared" si="0"/>
        <v>8.5</v>
      </c>
      <c r="I40" s="97" t="s">
        <v>14</v>
      </c>
      <c r="J40" s="18">
        <v>13.75</v>
      </c>
      <c r="K40" s="74">
        <f t="shared" si="1"/>
        <v>116.875</v>
      </c>
    </row>
    <row r="41" spans="1:11" ht="16" x14ac:dyDescent="0.2">
      <c r="A41" s="73">
        <v>2230650629</v>
      </c>
      <c r="B41" s="19" t="s">
        <v>67</v>
      </c>
      <c r="C41" s="16">
        <v>2.5</v>
      </c>
      <c r="D41" s="16">
        <v>0.75</v>
      </c>
      <c r="E41" s="16">
        <v>10</v>
      </c>
      <c r="F41" s="32">
        <v>1.5</v>
      </c>
      <c r="G41" s="17">
        <v>1.5</v>
      </c>
      <c r="H41" s="15">
        <f t="shared" si="0"/>
        <v>16.25</v>
      </c>
      <c r="I41" s="97" t="s">
        <v>14</v>
      </c>
      <c r="J41" s="18">
        <v>13.75</v>
      </c>
      <c r="K41" s="74">
        <f t="shared" si="1"/>
        <v>223.4375</v>
      </c>
    </row>
    <row r="42" spans="1:11" ht="17.25" customHeight="1" x14ac:dyDescent="0.2">
      <c r="A42" s="73">
        <v>2230650630</v>
      </c>
      <c r="B42" s="19" t="s">
        <v>68</v>
      </c>
      <c r="C42" s="16">
        <v>2</v>
      </c>
      <c r="D42" s="16">
        <v>0.5</v>
      </c>
      <c r="E42" s="16">
        <v>5</v>
      </c>
      <c r="F42" s="32">
        <v>2.5</v>
      </c>
      <c r="G42" s="17">
        <v>1</v>
      </c>
      <c r="H42" s="15">
        <f t="shared" si="0"/>
        <v>11</v>
      </c>
      <c r="I42" s="97" t="s">
        <v>14</v>
      </c>
      <c r="J42" s="18">
        <v>13.75</v>
      </c>
      <c r="K42" s="74">
        <f t="shared" si="1"/>
        <v>151.25</v>
      </c>
    </row>
    <row r="43" spans="1:11" ht="13.5" customHeight="1" x14ac:dyDescent="0.2">
      <c r="A43" s="73">
        <v>2230650631</v>
      </c>
      <c r="B43" s="19" t="s">
        <v>69</v>
      </c>
      <c r="C43" s="16">
        <v>3</v>
      </c>
      <c r="D43" s="16">
        <v>0</v>
      </c>
      <c r="E43" s="16">
        <v>3</v>
      </c>
      <c r="F43" s="32">
        <v>1</v>
      </c>
      <c r="G43" s="17">
        <v>2</v>
      </c>
      <c r="H43" s="15">
        <f t="shared" si="0"/>
        <v>9</v>
      </c>
      <c r="I43" s="97" t="s">
        <v>14</v>
      </c>
      <c r="J43" s="18">
        <v>13.75</v>
      </c>
      <c r="K43" s="74">
        <f t="shared" si="1"/>
        <v>123.75</v>
      </c>
    </row>
    <row r="44" spans="1:11" x14ac:dyDescent="0.2">
      <c r="A44" s="73">
        <v>2230700143</v>
      </c>
      <c r="B44" s="15" t="s">
        <v>75</v>
      </c>
      <c r="C44" s="16">
        <v>2</v>
      </c>
      <c r="D44" s="16">
        <v>0</v>
      </c>
      <c r="E44" s="16">
        <v>1</v>
      </c>
      <c r="F44" s="32">
        <v>0</v>
      </c>
      <c r="G44" s="17">
        <v>1.5</v>
      </c>
      <c r="H44" s="15">
        <f t="shared" si="0"/>
        <v>4.5</v>
      </c>
      <c r="I44" s="26" t="s">
        <v>14</v>
      </c>
      <c r="J44" s="22">
        <v>30.09</v>
      </c>
      <c r="K44" s="74">
        <f t="shared" si="1"/>
        <v>135.405</v>
      </c>
    </row>
    <row r="45" spans="1:11" x14ac:dyDescent="0.2">
      <c r="A45" s="73">
        <v>2230700369</v>
      </c>
      <c r="B45" s="15" t="s">
        <v>77</v>
      </c>
      <c r="C45" s="16">
        <v>1.5</v>
      </c>
      <c r="D45" s="16">
        <v>0</v>
      </c>
      <c r="E45" s="16">
        <v>2</v>
      </c>
      <c r="F45" s="32">
        <v>0.5</v>
      </c>
      <c r="G45" s="17">
        <v>0.5</v>
      </c>
      <c r="H45" s="15">
        <f t="shared" si="0"/>
        <v>4.5</v>
      </c>
      <c r="I45" s="26" t="s">
        <v>14</v>
      </c>
      <c r="J45" s="18">
        <v>19.3</v>
      </c>
      <c r="K45" s="74">
        <f t="shared" si="1"/>
        <v>86.850000000000009</v>
      </c>
    </row>
    <row r="46" spans="1:11" x14ac:dyDescent="0.2">
      <c r="A46" s="73">
        <v>2230700401</v>
      </c>
      <c r="B46" s="15" t="s">
        <v>147</v>
      </c>
      <c r="C46" s="16">
        <v>1.75</v>
      </c>
      <c r="D46" s="16">
        <v>0</v>
      </c>
      <c r="E46" s="16">
        <v>2</v>
      </c>
      <c r="F46" s="32">
        <v>0.5</v>
      </c>
      <c r="G46" s="17">
        <v>0.5</v>
      </c>
      <c r="H46" s="15">
        <f t="shared" si="0"/>
        <v>4.75</v>
      </c>
      <c r="I46" s="26" t="s">
        <v>14</v>
      </c>
      <c r="J46" s="18">
        <v>39.19</v>
      </c>
      <c r="K46" s="74">
        <f t="shared" si="1"/>
        <v>186.15249999999997</v>
      </c>
    </row>
    <row r="47" spans="1:11" ht="16" x14ac:dyDescent="0.2">
      <c r="A47" s="73">
        <v>2230700431</v>
      </c>
      <c r="B47" s="28" t="s">
        <v>50</v>
      </c>
      <c r="C47" s="16">
        <v>0</v>
      </c>
      <c r="D47" s="16">
        <v>0.5</v>
      </c>
      <c r="E47" s="16">
        <v>4</v>
      </c>
      <c r="F47" s="32">
        <v>1</v>
      </c>
      <c r="G47" s="17">
        <v>0.75</v>
      </c>
      <c r="H47" s="15">
        <f t="shared" si="0"/>
        <v>6.25</v>
      </c>
      <c r="I47" s="26" t="s">
        <v>14</v>
      </c>
      <c r="J47" s="18">
        <v>14.88</v>
      </c>
      <c r="K47" s="74">
        <f t="shared" si="1"/>
        <v>93</v>
      </c>
    </row>
    <row r="48" spans="1:11" x14ac:dyDescent="0.2">
      <c r="A48" s="73">
        <v>2230700462</v>
      </c>
      <c r="B48" s="15" t="s">
        <v>78</v>
      </c>
      <c r="C48" s="16">
        <v>0.5</v>
      </c>
      <c r="D48" s="16">
        <v>1</v>
      </c>
      <c r="E48" s="16">
        <v>7</v>
      </c>
      <c r="F48" s="32">
        <v>2</v>
      </c>
      <c r="G48" s="17">
        <v>1.5</v>
      </c>
      <c r="H48" s="15">
        <f t="shared" si="0"/>
        <v>12</v>
      </c>
      <c r="I48" s="26" t="s">
        <v>14</v>
      </c>
      <c r="J48" s="18">
        <v>36.75</v>
      </c>
      <c r="K48" s="74">
        <f t="shared" si="1"/>
        <v>441</v>
      </c>
    </row>
    <row r="49" spans="1:25" x14ac:dyDescent="0.2">
      <c r="A49" s="73">
        <v>2230700507</v>
      </c>
      <c r="B49" s="15" t="s">
        <v>74</v>
      </c>
      <c r="C49" s="16">
        <v>2.5</v>
      </c>
      <c r="D49" s="16">
        <v>0.5</v>
      </c>
      <c r="E49" s="16">
        <v>3</v>
      </c>
      <c r="F49" s="32">
        <v>1.5</v>
      </c>
      <c r="G49" s="17">
        <v>1.25</v>
      </c>
      <c r="H49" s="15">
        <f t="shared" si="0"/>
        <v>8.75</v>
      </c>
      <c r="I49" s="26" t="s">
        <v>14</v>
      </c>
      <c r="J49" s="22">
        <v>30.09</v>
      </c>
      <c r="K49" s="74">
        <f t="shared" si="1"/>
        <v>263.28750000000002</v>
      </c>
    </row>
    <row r="50" spans="1:25" ht="16" x14ac:dyDescent="0.2">
      <c r="A50" s="73">
        <v>2230700516</v>
      </c>
      <c r="B50" s="19" t="s">
        <v>108</v>
      </c>
      <c r="C50" s="16">
        <v>1.75</v>
      </c>
      <c r="D50" s="16">
        <v>0.25</v>
      </c>
      <c r="E50" s="16">
        <v>4</v>
      </c>
      <c r="F50" s="32">
        <v>0</v>
      </c>
      <c r="G50" s="17">
        <v>0.75</v>
      </c>
      <c r="H50" s="15">
        <f t="shared" si="0"/>
        <v>6.75</v>
      </c>
      <c r="I50" s="26" t="s">
        <v>14</v>
      </c>
      <c r="J50" s="22">
        <v>31.25</v>
      </c>
      <c r="K50" s="74">
        <f t="shared" si="1"/>
        <v>210.9375</v>
      </c>
    </row>
    <row r="51" spans="1:25" x14ac:dyDescent="0.2">
      <c r="A51" s="73">
        <v>2230700532</v>
      </c>
      <c r="B51" s="15" t="s">
        <v>72</v>
      </c>
      <c r="C51" s="16">
        <v>1.5</v>
      </c>
      <c r="D51" s="16">
        <v>0.5</v>
      </c>
      <c r="E51" s="16">
        <v>5</v>
      </c>
      <c r="F51" s="32">
        <v>2</v>
      </c>
      <c r="G51" s="17">
        <v>1.75</v>
      </c>
      <c r="H51" s="15">
        <f t="shared" si="0"/>
        <v>10.75</v>
      </c>
      <c r="I51" s="98">
        <v>750</v>
      </c>
      <c r="J51" s="22">
        <v>17.739999999999998</v>
      </c>
      <c r="K51" s="74">
        <f t="shared" si="1"/>
        <v>190.70499999999998</v>
      </c>
    </row>
    <row r="52" spans="1:25" x14ac:dyDescent="0.2">
      <c r="A52" s="73">
        <v>2230700633</v>
      </c>
      <c r="B52" s="15" t="s">
        <v>73</v>
      </c>
      <c r="C52" s="16">
        <v>2</v>
      </c>
      <c r="D52" s="16">
        <v>1</v>
      </c>
      <c r="E52" s="16">
        <v>3</v>
      </c>
      <c r="F52" s="32">
        <v>2</v>
      </c>
      <c r="G52" s="17">
        <v>1.5</v>
      </c>
      <c r="H52" s="15">
        <f t="shared" si="0"/>
        <v>9.5</v>
      </c>
      <c r="I52" s="26" t="s">
        <v>14</v>
      </c>
      <c r="J52" s="22">
        <v>18</v>
      </c>
      <c r="K52" s="74">
        <f t="shared" si="1"/>
        <v>171</v>
      </c>
    </row>
    <row r="53" spans="1:25" x14ac:dyDescent="0.2">
      <c r="A53" s="104">
        <v>2230700666</v>
      </c>
      <c r="B53" s="9" t="s">
        <v>76</v>
      </c>
      <c r="C53" s="10">
        <v>2</v>
      </c>
      <c r="D53" s="10">
        <v>1</v>
      </c>
      <c r="E53" s="10">
        <v>2</v>
      </c>
      <c r="F53" s="209">
        <v>2</v>
      </c>
      <c r="G53" s="11">
        <v>1.5</v>
      </c>
      <c r="H53" s="12">
        <f t="shared" si="0"/>
        <v>8.5</v>
      </c>
      <c r="I53" s="134">
        <v>750</v>
      </c>
      <c r="J53" s="14">
        <v>23.19</v>
      </c>
      <c r="K53" s="75">
        <f t="shared" si="1"/>
        <v>197.11500000000001</v>
      </c>
    </row>
    <row r="54" spans="1:25" ht="16" x14ac:dyDescent="0.2">
      <c r="A54" s="105">
        <v>2240050011</v>
      </c>
      <c r="B54" s="66" t="s">
        <v>46</v>
      </c>
      <c r="C54" s="16">
        <v>2</v>
      </c>
      <c r="D54" s="16">
        <v>0</v>
      </c>
      <c r="E54" s="16">
        <v>0</v>
      </c>
      <c r="F54" s="32">
        <v>2.5</v>
      </c>
      <c r="G54" s="17">
        <v>0.5</v>
      </c>
      <c r="H54" s="12">
        <f t="shared" si="0"/>
        <v>5</v>
      </c>
      <c r="I54" s="98">
        <v>750</v>
      </c>
      <c r="J54" s="22">
        <v>4</v>
      </c>
      <c r="K54" s="106">
        <f t="shared" si="1"/>
        <v>20</v>
      </c>
    </row>
    <row r="55" spans="1:25" x14ac:dyDescent="0.2">
      <c r="A55" s="105">
        <v>2240100004</v>
      </c>
      <c r="B55" s="21" t="s">
        <v>44</v>
      </c>
      <c r="C55" s="16">
        <v>3</v>
      </c>
      <c r="D55" s="16">
        <v>0.5</v>
      </c>
      <c r="E55" s="16">
        <v>14</v>
      </c>
      <c r="F55" s="32">
        <v>4</v>
      </c>
      <c r="G55" s="17">
        <v>2</v>
      </c>
      <c r="H55" s="12">
        <f t="shared" si="0"/>
        <v>23.5</v>
      </c>
      <c r="I55" s="97" t="s">
        <v>29</v>
      </c>
      <c r="J55" s="22">
        <v>6.99</v>
      </c>
      <c r="K55" s="106">
        <f t="shared" si="1"/>
        <v>164.26500000000001</v>
      </c>
    </row>
    <row r="56" spans="1:25" ht="16" x14ac:dyDescent="0.2">
      <c r="A56" s="105">
        <v>2240100006</v>
      </c>
      <c r="B56" s="66" t="s">
        <v>41</v>
      </c>
      <c r="C56" s="16">
        <v>3</v>
      </c>
      <c r="D56" s="16">
        <v>1.5</v>
      </c>
      <c r="E56" s="16">
        <v>11</v>
      </c>
      <c r="F56" s="32">
        <v>12.5</v>
      </c>
      <c r="G56" s="17">
        <v>1.75</v>
      </c>
      <c r="H56" s="81">
        <f t="shared" si="0"/>
        <v>29.75</v>
      </c>
      <c r="I56" s="97" t="s">
        <v>29</v>
      </c>
      <c r="J56" s="22">
        <v>6.99</v>
      </c>
      <c r="K56" s="106">
        <f t="shared" si="1"/>
        <v>207.95250000000001</v>
      </c>
    </row>
    <row r="57" spans="1:25" ht="16" x14ac:dyDescent="0.2">
      <c r="A57" s="73">
        <v>2240200016</v>
      </c>
      <c r="B57" s="19" t="s">
        <v>28</v>
      </c>
      <c r="C57" s="16">
        <v>2</v>
      </c>
      <c r="D57" s="16">
        <v>0.25</v>
      </c>
      <c r="E57" s="16">
        <v>6</v>
      </c>
      <c r="F57" s="32">
        <v>3</v>
      </c>
      <c r="G57" s="17">
        <v>2.5</v>
      </c>
      <c r="H57" s="12">
        <f t="shared" si="0"/>
        <v>13.75</v>
      </c>
      <c r="I57" s="26" t="s">
        <v>29</v>
      </c>
      <c r="J57" s="18">
        <v>5.56</v>
      </c>
      <c r="K57" s="74">
        <f t="shared" si="1"/>
        <v>76.449999999999989</v>
      </c>
    </row>
    <row r="58" spans="1:25" ht="16" x14ac:dyDescent="0.2">
      <c r="A58" s="73">
        <v>2240200017</v>
      </c>
      <c r="B58" s="19" t="s">
        <v>30</v>
      </c>
      <c r="C58" s="16">
        <v>2</v>
      </c>
      <c r="D58" s="16">
        <v>1.5</v>
      </c>
      <c r="E58" s="16">
        <v>12</v>
      </c>
      <c r="F58" s="32">
        <v>2</v>
      </c>
      <c r="G58" s="17">
        <v>2</v>
      </c>
      <c r="H58" s="12">
        <f t="shared" si="0"/>
        <v>19.5</v>
      </c>
      <c r="I58" s="26" t="s">
        <v>29</v>
      </c>
      <c r="J58" s="18">
        <v>5.58</v>
      </c>
      <c r="K58" s="74">
        <f t="shared" si="1"/>
        <v>108.81</v>
      </c>
    </row>
    <row r="59" spans="1:25" ht="16" x14ac:dyDescent="0.2">
      <c r="A59" s="105">
        <v>2240200018</v>
      </c>
      <c r="B59" s="66" t="s">
        <v>43</v>
      </c>
      <c r="C59" s="16">
        <v>3</v>
      </c>
      <c r="D59" s="16">
        <v>2.5</v>
      </c>
      <c r="E59" s="16">
        <v>9</v>
      </c>
      <c r="F59" s="32">
        <v>8.25</v>
      </c>
      <c r="G59" s="17">
        <v>2.5</v>
      </c>
      <c r="H59" s="81">
        <f t="shared" si="0"/>
        <v>25.25</v>
      </c>
      <c r="I59" s="97" t="s">
        <v>29</v>
      </c>
      <c r="J59" s="22">
        <v>6.99</v>
      </c>
      <c r="K59" s="106">
        <f t="shared" si="1"/>
        <v>176.4975</v>
      </c>
    </row>
    <row r="60" spans="1:25" ht="15.75" customHeight="1" x14ac:dyDescent="0.2">
      <c r="A60" s="105">
        <v>2240300043</v>
      </c>
      <c r="B60" s="21" t="s">
        <v>45</v>
      </c>
      <c r="C60" s="16">
        <v>0</v>
      </c>
      <c r="D60" s="16">
        <v>1</v>
      </c>
      <c r="E60" s="16">
        <v>16</v>
      </c>
      <c r="F60" s="32">
        <v>3.25</v>
      </c>
      <c r="G60" s="17">
        <v>3.5</v>
      </c>
      <c r="H60" s="12">
        <f t="shared" si="0"/>
        <v>23.75</v>
      </c>
      <c r="I60" s="98">
        <v>750</v>
      </c>
      <c r="J60" s="22">
        <v>7.01</v>
      </c>
      <c r="K60" s="237">
        <f t="shared" si="1"/>
        <v>166.48749999999998</v>
      </c>
      <c r="O60" s="168"/>
      <c r="P60" s="169"/>
      <c r="Q60" s="169"/>
      <c r="R60" s="170"/>
      <c r="S60" s="170"/>
      <c r="T60" s="171"/>
      <c r="U60" s="172"/>
      <c r="V60" s="173"/>
      <c r="W60" s="174"/>
      <c r="X60" s="170"/>
      <c r="Y60" s="169"/>
    </row>
    <row r="61" spans="1:25" ht="16" x14ac:dyDescent="0.2">
      <c r="A61" s="238" t="s">
        <v>55</v>
      </c>
      <c r="B61" s="28" t="s">
        <v>56</v>
      </c>
      <c r="C61" s="16">
        <v>0.5</v>
      </c>
      <c r="D61" s="16">
        <v>2</v>
      </c>
      <c r="E61" s="16">
        <v>0</v>
      </c>
      <c r="F61" s="32">
        <v>0.5</v>
      </c>
      <c r="G61" s="17">
        <v>0</v>
      </c>
      <c r="H61" s="12">
        <f t="shared" si="0"/>
        <v>3</v>
      </c>
      <c r="I61" s="26" t="s">
        <v>14</v>
      </c>
      <c r="J61" s="18">
        <v>3.75</v>
      </c>
      <c r="K61" s="74">
        <f t="shared" si="1"/>
        <v>11.25</v>
      </c>
    </row>
    <row r="62" spans="1:25" x14ac:dyDescent="0.2">
      <c r="A62" s="101" t="s">
        <v>80</v>
      </c>
      <c r="B62" s="15" t="s">
        <v>81</v>
      </c>
      <c r="C62" s="16">
        <v>0</v>
      </c>
      <c r="D62" s="16">
        <v>3</v>
      </c>
      <c r="E62" s="16">
        <v>0</v>
      </c>
      <c r="F62" s="32">
        <v>0.5</v>
      </c>
      <c r="G62" s="17">
        <v>0.75</v>
      </c>
      <c r="H62" s="12">
        <f t="shared" si="0"/>
        <v>4.25</v>
      </c>
      <c r="I62" s="96" t="s">
        <v>14</v>
      </c>
      <c r="J62" s="18">
        <v>9</v>
      </c>
      <c r="K62" s="74">
        <f t="shared" si="1"/>
        <v>38.25</v>
      </c>
    </row>
    <row r="63" spans="1:25" x14ac:dyDescent="0.2">
      <c r="A63" s="73"/>
      <c r="B63" s="15"/>
      <c r="C63" s="16"/>
      <c r="D63" s="16"/>
      <c r="E63" s="16"/>
      <c r="F63" s="32"/>
      <c r="G63" s="17"/>
      <c r="H63" s="12"/>
      <c r="I63" s="26"/>
      <c r="J63" s="18"/>
      <c r="K63" s="74"/>
    </row>
    <row r="64" spans="1:25" x14ac:dyDescent="0.2">
      <c r="A64" s="73"/>
      <c r="B64" s="15"/>
      <c r="C64" s="16"/>
      <c r="D64" s="16"/>
      <c r="E64" s="16"/>
      <c r="F64" s="32"/>
      <c r="G64" s="17"/>
      <c r="H64" s="12"/>
      <c r="I64" s="26"/>
      <c r="J64" s="18"/>
      <c r="K64" s="74"/>
    </row>
    <row r="65" spans="1:11" x14ac:dyDescent="0.2">
      <c r="A65" s="73"/>
      <c r="B65" s="19"/>
      <c r="C65" s="16"/>
      <c r="D65" s="16"/>
      <c r="E65" s="16"/>
      <c r="F65" s="32"/>
      <c r="G65" s="17"/>
      <c r="H65" s="81"/>
      <c r="I65" s="26"/>
      <c r="J65" s="22"/>
      <c r="K65" s="74"/>
    </row>
    <row r="66" spans="1:11" x14ac:dyDescent="0.2">
      <c r="A66" s="73"/>
      <c r="B66" s="15"/>
      <c r="C66" s="16"/>
      <c r="D66" s="16"/>
      <c r="E66" s="16"/>
      <c r="F66" s="32"/>
      <c r="G66" s="17"/>
      <c r="H66" s="12"/>
      <c r="I66" s="96"/>
      <c r="J66" s="22"/>
      <c r="K66" s="74"/>
    </row>
    <row r="67" spans="1:11" hidden="1" x14ac:dyDescent="0.2"/>
    <row r="69" spans="1:11" ht="16" thickBot="1" x14ac:dyDescent="0.25">
      <c r="A69" s="175"/>
      <c r="B69" s="176" t="s">
        <v>0</v>
      </c>
      <c r="C69" s="177"/>
      <c r="D69" s="177"/>
      <c r="E69" s="177"/>
      <c r="F69" s="177"/>
      <c r="G69" s="177"/>
      <c r="H69" s="177"/>
      <c r="I69" s="178" t="s">
        <v>1</v>
      </c>
      <c r="J69" s="179">
        <v>46023</v>
      </c>
      <c r="K69" s="180"/>
    </row>
    <row r="70" spans="1:11" ht="49" thickBot="1" x14ac:dyDescent="0.25">
      <c r="A70" s="68" t="s">
        <v>2</v>
      </c>
      <c r="B70" s="7" t="s">
        <v>83</v>
      </c>
      <c r="C70" s="1" t="s">
        <v>4</v>
      </c>
      <c r="D70" s="2" t="s">
        <v>5</v>
      </c>
      <c r="E70" s="2" t="s">
        <v>6</v>
      </c>
      <c r="F70" s="221" t="s">
        <v>7</v>
      </c>
      <c r="G70" s="4" t="s">
        <v>8</v>
      </c>
      <c r="H70" s="5" t="s">
        <v>9</v>
      </c>
      <c r="I70" s="62" t="s">
        <v>10</v>
      </c>
      <c r="J70" s="63" t="s">
        <v>11</v>
      </c>
      <c r="K70" s="64" t="s">
        <v>12</v>
      </c>
    </row>
    <row r="71" spans="1:11" ht="12.75" customHeight="1" thickBot="1" x14ac:dyDescent="0.25">
      <c r="A71" s="67" t="s">
        <v>2</v>
      </c>
      <c r="B71" s="7" t="s">
        <v>83</v>
      </c>
      <c r="C71" s="35" t="s">
        <v>4</v>
      </c>
      <c r="D71" s="36" t="s">
        <v>5</v>
      </c>
      <c r="E71" s="2" t="s">
        <v>6</v>
      </c>
      <c r="F71" s="223" t="s">
        <v>7</v>
      </c>
      <c r="G71" s="38" t="s">
        <v>8</v>
      </c>
      <c r="H71" s="5" t="s">
        <v>9</v>
      </c>
      <c r="I71" s="6" t="s">
        <v>10</v>
      </c>
      <c r="J71" s="7" t="s">
        <v>11</v>
      </c>
      <c r="K71" s="8" t="s">
        <v>12</v>
      </c>
    </row>
    <row r="72" spans="1:11" ht="16" x14ac:dyDescent="0.2">
      <c r="A72" s="104">
        <v>2230200006</v>
      </c>
      <c r="B72" s="41" t="s">
        <v>86</v>
      </c>
      <c r="C72" s="42"/>
      <c r="D72" s="42"/>
      <c r="E72" s="10">
        <v>16.5</v>
      </c>
      <c r="F72" s="222"/>
      <c r="G72" s="43"/>
      <c r="H72" s="12">
        <f t="shared" ref="H72:H89" si="2">SUM(E72)</f>
        <v>16.5</v>
      </c>
      <c r="I72" s="40" t="s">
        <v>14</v>
      </c>
      <c r="J72" s="14">
        <v>6.53</v>
      </c>
      <c r="K72" s="75">
        <f t="shared" ref="K72:K104" si="3">H72*J72</f>
        <v>107.745</v>
      </c>
    </row>
    <row r="73" spans="1:11" ht="16" x14ac:dyDescent="0.2">
      <c r="A73" s="104">
        <v>2230250006</v>
      </c>
      <c r="B73" s="41" t="s">
        <v>84</v>
      </c>
      <c r="C73" s="42"/>
      <c r="D73" s="42"/>
      <c r="E73" s="10">
        <v>16.5</v>
      </c>
      <c r="F73" s="222"/>
      <c r="G73" s="43"/>
      <c r="H73" s="81">
        <f t="shared" si="2"/>
        <v>16.5</v>
      </c>
      <c r="I73" s="40" t="s">
        <v>85</v>
      </c>
      <c r="J73" s="23">
        <v>65.239999999999995</v>
      </c>
      <c r="K73" s="75">
        <f t="shared" si="3"/>
        <v>1076.4599999999998</v>
      </c>
    </row>
    <row r="74" spans="1:11" ht="16" x14ac:dyDescent="0.2">
      <c r="A74" s="73">
        <v>2230350017</v>
      </c>
      <c r="B74" s="19" t="s">
        <v>91</v>
      </c>
      <c r="C74" s="25"/>
      <c r="D74" s="25"/>
      <c r="E74" s="16">
        <v>2.5</v>
      </c>
      <c r="F74" s="213"/>
      <c r="G74" s="39"/>
      <c r="H74" s="81">
        <f t="shared" si="2"/>
        <v>2.5</v>
      </c>
      <c r="I74" s="26" t="s">
        <v>85</v>
      </c>
      <c r="J74" s="22">
        <v>35.99</v>
      </c>
      <c r="K74" s="74">
        <f t="shared" si="3"/>
        <v>89.975000000000009</v>
      </c>
    </row>
    <row r="75" spans="1:11" ht="16" x14ac:dyDescent="0.2">
      <c r="A75" s="73">
        <v>2230350047</v>
      </c>
      <c r="B75" s="19" t="s">
        <v>151</v>
      </c>
      <c r="C75" s="25"/>
      <c r="D75" s="25"/>
      <c r="E75" s="16">
        <v>18</v>
      </c>
      <c r="F75" s="213"/>
      <c r="G75" s="39"/>
      <c r="H75" s="81">
        <f t="shared" si="2"/>
        <v>18</v>
      </c>
      <c r="I75" s="26" t="s">
        <v>85</v>
      </c>
      <c r="J75" s="18">
        <v>7.82</v>
      </c>
      <c r="K75" s="74">
        <f t="shared" si="3"/>
        <v>140.76</v>
      </c>
    </row>
    <row r="76" spans="1:11" ht="16" x14ac:dyDescent="0.2">
      <c r="A76" s="104">
        <v>2230400035</v>
      </c>
      <c r="B76" s="41" t="s">
        <v>88</v>
      </c>
      <c r="C76" s="42"/>
      <c r="D76" s="42"/>
      <c r="E76" s="10">
        <v>0</v>
      </c>
      <c r="F76" s="222"/>
      <c r="G76" s="43"/>
      <c r="H76" s="81">
        <f t="shared" si="2"/>
        <v>0</v>
      </c>
      <c r="I76" s="40" t="s">
        <v>14</v>
      </c>
      <c r="J76" s="14">
        <v>6.92</v>
      </c>
      <c r="K76" s="75">
        <f t="shared" si="3"/>
        <v>0</v>
      </c>
    </row>
    <row r="77" spans="1:11" ht="16" x14ac:dyDescent="0.2">
      <c r="A77" s="73">
        <v>2230400037</v>
      </c>
      <c r="B77" s="19" t="s">
        <v>87</v>
      </c>
      <c r="C77" s="25"/>
      <c r="D77" s="25"/>
      <c r="E77" s="16">
        <v>6</v>
      </c>
      <c r="F77" s="213"/>
      <c r="G77" s="39"/>
      <c r="H77" s="12">
        <f t="shared" si="2"/>
        <v>6</v>
      </c>
      <c r="I77" s="40" t="s">
        <v>14</v>
      </c>
      <c r="J77" s="18">
        <v>2.79</v>
      </c>
      <c r="K77" s="75">
        <f t="shared" si="3"/>
        <v>16.740000000000002</v>
      </c>
    </row>
    <row r="78" spans="1:11" ht="16" x14ac:dyDescent="0.2">
      <c r="A78" s="73">
        <v>2230400047</v>
      </c>
      <c r="B78" s="19" t="s">
        <v>92</v>
      </c>
      <c r="C78" s="25"/>
      <c r="D78" s="25"/>
      <c r="E78" s="16">
        <v>2</v>
      </c>
      <c r="F78" s="213"/>
      <c r="G78" s="39"/>
      <c r="H78" s="81">
        <f t="shared" si="2"/>
        <v>2</v>
      </c>
      <c r="I78" s="40" t="s">
        <v>85</v>
      </c>
      <c r="J78" s="22">
        <v>13.5</v>
      </c>
      <c r="K78" s="75">
        <f t="shared" si="3"/>
        <v>27</v>
      </c>
    </row>
    <row r="79" spans="1:11" ht="16" x14ac:dyDescent="0.2">
      <c r="A79" s="73">
        <v>2230450008</v>
      </c>
      <c r="B79" s="19" t="s">
        <v>93</v>
      </c>
      <c r="C79" s="25"/>
      <c r="D79" s="25"/>
      <c r="E79" s="16">
        <v>8</v>
      </c>
      <c r="F79" s="213"/>
      <c r="G79" s="39"/>
      <c r="H79" s="81">
        <f t="shared" si="2"/>
        <v>8</v>
      </c>
      <c r="I79" s="40" t="s">
        <v>14</v>
      </c>
      <c r="J79" s="18">
        <v>16.5</v>
      </c>
      <c r="K79" s="75">
        <f t="shared" si="3"/>
        <v>132</v>
      </c>
    </row>
    <row r="80" spans="1:11" ht="16" x14ac:dyDescent="0.2">
      <c r="A80" s="73">
        <v>2230450009</v>
      </c>
      <c r="B80" s="19" t="s">
        <v>96</v>
      </c>
      <c r="C80" s="25"/>
      <c r="D80" s="25"/>
      <c r="E80" s="16">
        <v>12</v>
      </c>
      <c r="F80" s="213"/>
      <c r="G80" s="39"/>
      <c r="H80" s="12">
        <f t="shared" si="2"/>
        <v>12</v>
      </c>
      <c r="I80" s="40" t="s">
        <v>14</v>
      </c>
      <c r="J80" s="18">
        <v>15.56</v>
      </c>
      <c r="K80" s="75">
        <f t="shared" si="3"/>
        <v>186.72</v>
      </c>
    </row>
    <row r="81" spans="1:11" ht="16" x14ac:dyDescent="0.2">
      <c r="A81" s="73">
        <v>2230450014</v>
      </c>
      <c r="B81" s="19" t="s">
        <v>89</v>
      </c>
      <c r="C81" s="25"/>
      <c r="D81" s="25"/>
      <c r="E81" s="16">
        <v>7</v>
      </c>
      <c r="F81" s="213"/>
      <c r="G81" s="39"/>
      <c r="H81" s="12">
        <f t="shared" si="2"/>
        <v>7</v>
      </c>
      <c r="I81" s="26" t="s">
        <v>14</v>
      </c>
      <c r="J81" s="22">
        <v>12.17</v>
      </c>
      <c r="K81" s="74">
        <f t="shared" si="3"/>
        <v>85.19</v>
      </c>
    </row>
    <row r="82" spans="1:11" ht="16" hidden="1" x14ac:dyDescent="0.2">
      <c r="A82" s="73">
        <v>2230450017</v>
      </c>
      <c r="B82" s="19" t="s">
        <v>95</v>
      </c>
      <c r="C82" s="25"/>
      <c r="D82" s="25"/>
      <c r="E82" s="16"/>
      <c r="F82" s="213"/>
      <c r="G82" s="39"/>
      <c r="H82" s="81">
        <f t="shared" si="2"/>
        <v>0</v>
      </c>
      <c r="I82" s="40" t="s">
        <v>85</v>
      </c>
      <c r="J82" s="18">
        <v>18.39</v>
      </c>
      <c r="K82" s="75">
        <f t="shared" si="3"/>
        <v>0</v>
      </c>
    </row>
    <row r="83" spans="1:11" ht="16" x14ac:dyDescent="0.2">
      <c r="A83" s="73">
        <v>2230450021</v>
      </c>
      <c r="B83" s="19" t="s">
        <v>93</v>
      </c>
      <c r="C83" s="25"/>
      <c r="D83" s="25"/>
      <c r="E83" s="16"/>
      <c r="F83" s="213"/>
      <c r="G83" s="39"/>
      <c r="H83" s="81">
        <f t="shared" si="2"/>
        <v>0</v>
      </c>
      <c r="I83" s="40" t="s">
        <v>85</v>
      </c>
      <c r="J83" s="18">
        <v>15.99</v>
      </c>
      <c r="K83" s="75">
        <f t="shared" si="3"/>
        <v>0</v>
      </c>
    </row>
    <row r="84" spans="1:11" ht="16" x14ac:dyDescent="0.2">
      <c r="A84" s="73">
        <v>2230450030</v>
      </c>
      <c r="B84" s="19" t="s">
        <v>96</v>
      </c>
      <c r="C84" s="25"/>
      <c r="D84" s="25"/>
      <c r="E84" s="16">
        <v>10</v>
      </c>
      <c r="F84" s="213"/>
      <c r="G84" s="39"/>
      <c r="H84" s="81">
        <f t="shared" si="2"/>
        <v>10</v>
      </c>
      <c r="I84" s="26" t="s">
        <v>85</v>
      </c>
      <c r="J84" s="18">
        <v>19.190000000000001</v>
      </c>
      <c r="K84" s="74">
        <f t="shared" si="3"/>
        <v>191.9</v>
      </c>
    </row>
    <row r="85" spans="1:11" ht="16" x14ac:dyDescent="0.2">
      <c r="A85" s="104">
        <v>2230450034</v>
      </c>
      <c r="B85" s="19" t="s">
        <v>94</v>
      </c>
      <c r="C85" s="42"/>
      <c r="D85" s="42"/>
      <c r="E85" s="10">
        <v>21</v>
      </c>
      <c r="F85" s="222"/>
      <c r="G85" s="43"/>
      <c r="H85" s="81">
        <f t="shared" si="2"/>
        <v>21</v>
      </c>
      <c r="I85" s="40" t="s">
        <v>85</v>
      </c>
      <c r="J85" s="14">
        <v>9</v>
      </c>
      <c r="K85" s="74">
        <f t="shared" si="3"/>
        <v>189</v>
      </c>
    </row>
    <row r="86" spans="1:11" ht="16" hidden="1" x14ac:dyDescent="0.2">
      <c r="A86" s="104">
        <v>2230500038</v>
      </c>
      <c r="B86" s="41" t="s">
        <v>97</v>
      </c>
      <c r="C86" s="42"/>
      <c r="D86" s="42"/>
      <c r="E86" s="10"/>
      <c r="F86" s="222"/>
      <c r="G86" s="43"/>
      <c r="H86" s="81">
        <f t="shared" si="2"/>
        <v>0</v>
      </c>
      <c r="I86" s="40" t="s">
        <v>85</v>
      </c>
      <c r="J86" s="14">
        <v>13.59</v>
      </c>
      <c r="K86" s="75">
        <f t="shared" si="3"/>
        <v>0</v>
      </c>
    </row>
    <row r="87" spans="1:11" ht="16" x14ac:dyDescent="0.2">
      <c r="A87" s="104">
        <v>2230550012</v>
      </c>
      <c r="B87" s="19" t="s">
        <v>99</v>
      </c>
      <c r="C87" s="42"/>
      <c r="D87" s="42"/>
      <c r="E87" s="10">
        <v>25</v>
      </c>
      <c r="F87" s="222"/>
      <c r="G87" s="43"/>
      <c r="H87" s="81">
        <f t="shared" si="2"/>
        <v>25</v>
      </c>
      <c r="I87" s="40" t="s">
        <v>14</v>
      </c>
      <c r="J87" s="23">
        <v>38.39</v>
      </c>
      <c r="K87" s="75">
        <f t="shared" si="3"/>
        <v>959.75</v>
      </c>
    </row>
    <row r="88" spans="1:11" ht="16" x14ac:dyDescent="0.2">
      <c r="A88" s="73">
        <v>2230550024</v>
      </c>
      <c r="B88" s="19" t="s">
        <v>98</v>
      </c>
      <c r="C88" s="25"/>
      <c r="D88" s="25"/>
      <c r="E88" s="16">
        <v>28.5</v>
      </c>
      <c r="F88" s="213"/>
      <c r="G88" s="39"/>
      <c r="H88" s="81">
        <f t="shared" si="2"/>
        <v>28.5</v>
      </c>
      <c r="I88" s="40" t="s">
        <v>85</v>
      </c>
      <c r="J88" s="18">
        <v>14.79</v>
      </c>
      <c r="K88" s="75">
        <f t="shared" si="3"/>
        <v>421.51499999999999</v>
      </c>
    </row>
    <row r="89" spans="1:11" ht="16" x14ac:dyDescent="0.2">
      <c r="A89" s="105">
        <v>2230550182</v>
      </c>
      <c r="B89" s="19" t="s">
        <v>99</v>
      </c>
      <c r="C89" s="25"/>
      <c r="D89" s="25"/>
      <c r="E89" s="16">
        <v>0</v>
      </c>
      <c r="F89" s="213"/>
      <c r="G89" s="39"/>
      <c r="H89" s="81">
        <f t="shared" si="2"/>
        <v>0</v>
      </c>
      <c r="I89" s="40" t="s">
        <v>100</v>
      </c>
      <c r="J89" s="22">
        <v>71.989999999999995</v>
      </c>
      <c r="K89" s="75">
        <f t="shared" si="3"/>
        <v>0</v>
      </c>
    </row>
    <row r="90" spans="1:11" ht="16" x14ac:dyDescent="0.2">
      <c r="A90" s="73">
        <v>2230650123</v>
      </c>
      <c r="B90" s="19" t="s">
        <v>101</v>
      </c>
      <c r="C90" s="25"/>
      <c r="D90" s="25"/>
      <c r="E90" s="16">
        <v>5</v>
      </c>
      <c r="F90" s="213"/>
      <c r="G90" s="39"/>
      <c r="H90" s="81">
        <v>5</v>
      </c>
      <c r="I90" s="40" t="s">
        <v>14</v>
      </c>
      <c r="J90" s="22">
        <v>27.05</v>
      </c>
      <c r="K90" s="75">
        <f t="shared" si="3"/>
        <v>135.25</v>
      </c>
    </row>
    <row r="91" spans="1:11" ht="16" hidden="1" x14ac:dyDescent="0.2">
      <c r="A91" s="73">
        <v>2230650147</v>
      </c>
      <c r="B91" s="19" t="s">
        <v>102</v>
      </c>
      <c r="C91" s="25"/>
      <c r="D91" s="25"/>
      <c r="E91" s="16"/>
      <c r="F91" s="213"/>
      <c r="G91" s="39"/>
      <c r="H91" s="81">
        <f t="shared" ref="H91:H104" si="4">SUM(E91)</f>
        <v>0</v>
      </c>
      <c r="I91" s="26" t="s">
        <v>85</v>
      </c>
      <c r="J91" s="22">
        <v>7.99</v>
      </c>
      <c r="K91" s="74">
        <f t="shared" si="3"/>
        <v>0</v>
      </c>
    </row>
    <row r="92" spans="1:11" ht="17" thickBot="1" x14ac:dyDescent="0.25">
      <c r="A92" s="73">
        <v>2230650216</v>
      </c>
      <c r="B92" s="19" t="s">
        <v>104</v>
      </c>
      <c r="C92" s="25"/>
      <c r="D92" s="25"/>
      <c r="E92" s="16">
        <v>20.5</v>
      </c>
      <c r="F92" s="213"/>
      <c r="G92" s="39"/>
      <c r="H92" s="81">
        <f t="shared" si="4"/>
        <v>20.5</v>
      </c>
      <c r="I92" s="40" t="s">
        <v>85</v>
      </c>
      <c r="J92" s="18">
        <v>27.99</v>
      </c>
      <c r="K92" s="74">
        <f t="shared" si="3"/>
        <v>573.79499999999996</v>
      </c>
    </row>
    <row r="93" spans="1:11" ht="16" x14ac:dyDescent="0.2">
      <c r="A93" s="246">
        <v>2230650224</v>
      </c>
      <c r="B93" s="247" t="s">
        <v>150</v>
      </c>
      <c r="C93" s="198"/>
      <c r="D93" s="198"/>
      <c r="E93" s="198"/>
      <c r="F93" s="248"/>
      <c r="G93" s="249"/>
      <c r="H93" s="250">
        <f t="shared" si="4"/>
        <v>0</v>
      </c>
      <c r="I93" s="251" t="s">
        <v>14</v>
      </c>
      <c r="J93" s="252">
        <v>4.78</v>
      </c>
      <c r="K93" s="253">
        <f t="shared" si="3"/>
        <v>0</v>
      </c>
    </row>
    <row r="94" spans="1:11" ht="16" hidden="1" x14ac:dyDescent="0.2">
      <c r="A94" s="73">
        <v>2230650226</v>
      </c>
      <c r="B94" s="19" t="s">
        <v>26</v>
      </c>
      <c r="C94" s="25"/>
      <c r="D94" s="25"/>
      <c r="E94" s="16"/>
      <c r="F94" s="213"/>
      <c r="G94" s="39"/>
      <c r="H94" s="81">
        <f t="shared" si="4"/>
        <v>0</v>
      </c>
      <c r="I94" s="26" t="s">
        <v>85</v>
      </c>
      <c r="J94" s="22">
        <v>27.21</v>
      </c>
      <c r="K94" s="74">
        <f t="shared" si="3"/>
        <v>0</v>
      </c>
    </row>
    <row r="95" spans="1:11" ht="16" hidden="1" x14ac:dyDescent="0.2">
      <c r="A95" s="73">
        <v>2230650226</v>
      </c>
      <c r="B95" s="19" t="s">
        <v>26</v>
      </c>
      <c r="C95" s="25"/>
      <c r="D95" s="25"/>
      <c r="E95" s="16"/>
      <c r="F95" s="213"/>
      <c r="G95" s="39"/>
      <c r="H95" s="81">
        <f t="shared" si="4"/>
        <v>0</v>
      </c>
      <c r="I95" s="40" t="s">
        <v>85</v>
      </c>
      <c r="J95" s="22">
        <v>27.21</v>
      </c>
      <c r="K95" s="74">
        <f t="shared" si="3"/>
        <v>0</v>
      </c>
    </row>
    <row r="96" spans="1:11" ht="16" x14ac:dyDescent="0.2">
      <c r="A96" s="73">
        <v>2230650248</v>
      </c>
      <c r="B96" s="19" t="s">
        <v>103</v>
      </c>
      <c r="C96" s="25"/>
      <c r="D96" s="25"/>
      <c r="E96" s="16">
        <v>47.5</v>
      </c>
      <c r="F96" s="213"/>
      <c r="G96" s="39"/>
      <c r="H96" s="81">
        <f t="shared" si="4"/>
        <v>47.5</v>
      </c>
      <c r="I96" s="40" t="s">
        <v>85</v>
      </c>
      <c r="J96" s="22">
        <v>8.7899999999999991</v>
      </c>
      <c r="K96" s="106">
        <f t="shared" si="3"/>
        <v>417.52499999999998</v>
      </c>
    </row>
    <row r="97" spans="1:11" ht="16" x14ac:dyDescent="0.2">
      <c r="A97" s="246">
        <v>2230650394</v>
      </c>
      <c r="B97" s="247" t="s">
        <v>102</v>
      </c>
      <c r="C97" s="198"/>
      <c r="D97" s="198"/>
      <c r="E97" s="198"/>
      <c r="F97" s="248"/>
      <c r="G97" s="249"/>
      <c r="H97" s="254">
        <f t="shared" si="4"/>
        <v>0</v>
      </c>
      <c r="I97" s="251" t="s">
        <v>14</v>
      </c>
      <c r="J97" s="252">
        <v>4.3</v>
      </c>
      <c r="K97" s="253">
        <f t="shared" si="3"/>
        <v>0</v>
      </c>
    </row>
    <row r="98" spans="1:11" ht="16" x14ac:dyDescent="0.2">
      <c r="A98" s="73">
        <v>2230700299</v>
      </c>
      <c r="B98" s="19" t="s">
        <v>106</v>
      </c>
      <c r="C98" s="25"/>
      <c r="D98" s="25"/>
      <c r="E98" s="16">
        <v>26</v>
      </c>
      <c r="F98" s="213"/>
      <c r="G98" s="39"/>
      <c r="H98" s="81">
        <f t="shared" si="4"/>
        <v>26</v>
      </c>
      <c r="I98" s="40" t="s">
        <v>85</v>
      </c>
      <c r="J98" s="22">
        <v>45.59</v>
      </c>
      <c r="K98" s="74">
        <f t="shared" si="3"/>
        <v>1185.3400000000001</v>
      </c>
    </row>
    <row r="99" spans="1:11" ht="17.25" customHeight="1" x14ac:dyDescent="0.2">
      <c r="A99" s="73">
        <v>2230700698</v>
      </c>
      <c r="B99" s="19" t="s">
        <v>107</v>
      </c>
      <c r="C99" s="25"/>
      <c r="D99" s="25"/>
      <c r="E99" s="16">
        <v>7.5</v>
      </c>
      <c r="F99" s="213"/>
      <c r="G99" s="39"/>
      <c r="H99" s="81">
        <f t="shared" si="4"/>
        <v>7.5</v>
      </c>
      <c r="I99" s="40" t="s">
        <v>85</v>
      </c>
      <c r="J99" s="18">
        <v>29.59</v>
      </c>
      <c r="K99" s="74">
        <f t="shared" si="3"/>
        <v>221.92500000000001</v>
      </c>
    </row>
    <row r="100" spans="1:11" ht="16" x14ac:dyDescent="0.2">
      <c r="A100" s="73">
        <v>2230700700</v>
      </c>
      <c r="B100" s="19" t="s">
        <v>105</v>
      </c>
      <c r="C100" s="25"/>
      <c r="D100" s="25"/>
      <c r="E100" s="16">
        <v>13</v>
      </c>
      <c r="F100" s="213"/>
      <c r="G100" s="39"/>
      <c r="H100" s="81">
        <f t="shared" si="4"/>
        <v>13</v>
      </c>
      <c r="I100" s="40" t="s">
        <v>85</v>
      </c>
      <c r="J100" s="22">
        <v>42.39</v>
      </c>
      <c r="K100" s="74">
        <f t="shared" si="3"/>
        <v>551.07000000000005</v>
      </c>
    </row>
    <row r="101" spans="1:11" ht="16" x14ac:dyDescent="0.2">
      <c r="A101" s="73">
        <v>2230700016</v>
      </c>
      <c r="B101" s="19" t="s">
        <v>145</v>
      </c>
      <c r="C101" s="25"/>
      <c r="D101" s="25"/>
      <c r="E101" s="16">
        <v>8</v>
      </c>
      <c r="F101" s="213"/>
      <c r="G101" s="39"/>
      <c r="H101" s="81">
        <f t="shared" si="4"/>
        <v>8</v>
      </c>
      <c r="I101" s="26" t="s">
        <v>85</v>
      </c>
      <c r="J101" s="18">
        <v>17.59</v>
      </c>
      <c r="K101" s="74">
        <f t="shared" si="3"/>
        <v>140.72</v>
      </c>
    </row>
    <row r="102" spans="1:11" ht="16" x14ac:dyDescent="0.2">
      <c r="A102" s="73">
        <v>2230700480</v>
      </c>
      <c r="B102" s="19" t="s">
        <v>109</v>
      </c>
      <c r="C102" s="25"/>
      <c r="D102" s="25"/>
      <c r="E102" s="16">
        <v>25.5</v>
      </c>
      <c r="F102" s="213"/>
      <c r="G102" s="39"/>
      <c r="H102" s="81">
        <f t="shared" si="4"/>
        <v>25.5</v>
      </c>
      <c r="I102" s="26" t="s">
        <v>85</v>
      </c>
      <c r="J102" s="22">
        <v>11.49</v>
      </c>
      <c r="K102" s="74">
        <f t="shared" si="3"/>
        <v>292.995</v>
      </c>
    </row>
    <row r="103" spans="1:11" ht="16" hidden="1" x14ac:dyDescent="0.2">
      <c r="A103" s="107">
        <v>2230400763</v>
      </c>
      <c r="B103" s="19" t="s">
        <v>110</v>
      </c>
      <c r="C103" s="25"/>
      <c r="D103" s="25"/>
      <c r="E103" s="16"/>
      <c r="F103" s="213"/>
      <c r="G103" s="25"/>
      <c r="H103" s="12">
        <f t="shared" si="4"/>
        <v>0</v>
      </c>
      <c r="I103" s="31" t="s">
        <v>14</v>
      </c>
      <c r="J103" s="18">
        <f>116.95/12</f>
        <v>9.7458333333333336</v>
      </c>
      <c r="K103" s="74">
        <f t="shared" si="3"/>
        <v>0</v>
      </c>
    </row>
    <row r="104" spans="1:11" ht="17" thickBot="1" x14ac:dyDescent="0.25">
      <c r="A104" s="108">
        <v>2230700056</v>
      </c>
      <c r="B104" s="102" t="s">
        <v>142</v>
      </c>
      <c r="C104" s="109"/>
      <c r="D104" s="109"/>
      <c r="E104" s="76">
        <v>16.5</v>
      </c>
      <c r="F104" s="224"/>
      <c r="G104" s="109"/>
      <c r="H104" s="100">
        <f t="shared" si="4"/>
        <v>16.5</v>
      </c>
      <c r="I104" s="65" t="s">
        <v>85</v>
      </c>
      <c r="J104" s="164">
        <v>45.01</v>
      </c>
      <c r="K104" s="78">
        <f t="shared" si="3"/>
        <v>742.66499999999996</v>
      </c>
    </row>
    <row r="105" spans="1:11" x14ac:dyDescent="0.2">
      <c r="A105" s="107"/>
      <c r="B105" s="19"/>
      <c r="C105" s="25"/>
      <c r="D105" s="25"/>
      <c r="E105" s="16"/>
      <c r="F105" s="213"/>
      <c r="G105" s="25"/>
      <c r="H105" s="12"/>
      <c r="I105" s="31"/>
      <c r="J105" s="18"/>
      <c r="K105" s="74"/>
    </row>
    <row r="106" spans="1:11" ht="16" thickBot="1" x14ac:dyDescent="0.25">
      <c r="A106" s="108"/>
      <c r="B106" s="102"/>
      <c r="C106" s="109"/>
      <c r="D106" s="109"/>
      <c r="E106" s="76"/>
      <c r="F106" s="224"/>
      <c r="G106" s="109"/>
      <c r="H106" s="100"/>
      <c r="I106" s="65"/>
      <c r="J106" s="164"/>
      <c r="K106" s="78"/>
    </row>
    <row r="107" spans="1:11" ht="16" x14ac:dyDescent="0.2">
      <c r="A107" s="79"/>
      <c r="B107" s="33"/>
      <c r="C107" s="33"/>
      <c r="D107" s="33"/>
      <c r="E107" s="33"/>
      <c r="F107" s="79"/>
      <c r="G107" s="33"/>
      <c r="H107" s="44" t="s">
        <v>111</v>
      </c>
      <c r="J107" s="127"/>
      <c r="K107" s="128">
        <f>SUM(K3:K40,K41:K72,K73:K105)</f>
        <v>16762.709999999995</v>
      </c>
    </row>
    <row r="108" spans="1:11" ht="16" thickBot="1" x14ac:dyDescent="0.25"/>
    <row r="109" spans="1:11" ht="49" thickBot="1" x14ac:dyDescent="0.25">
      <c r="A109" s="67" t="s">
        <v>2</v>
      </c>
      <c r="B109" s="45" t="s">
        <v>112</v>
      </c>
      <c r="C109" s="1" t="s">
        <v>4</v>
      </c>
      <c r="D109" s="2" t="s">
        <v>5</v>
      </c>
      <c r="E109" s="149" t="s">
        <v>6</v>
      </c>
      <c r="F109" s="221" t="s">
        <v>7</v>
      </c>
      <c r="G109" s="46" t="s">
        <v>8</v>
      </c>
      <c r="H109" s="47" t="s">
        <v>9</v>
      </c>
      <c r="I109" s="48" t="s">
        <v>10</v>
      </c>
      <c r="J109" s="7" t="s">
        <v>113</v>
      </c>
      <c r="K109" s="8" t="s">
        <v>12</v>
      </c>
    </row>
    <row r="110" spans="1:11" ht="16" x14ac:dyDescent="0.2">
      <c r="A110" s="150">
        <v>2210100007</v>
      </c>
      <c r="B110" s="181" t="s">
        <v>114</v>
      </c>
      <c r="C110" s="70">
        <v>67</v>
      </c>
      <c r="D110" s="70">
        <v>23</v>
      </c>
      <c r="E110" s="152"/>
      <c r="F110" s="206">
        <v>13</v>
      </c>
      <c r="G110" s="70">
        <v>19</v>
      </c>
      <c r="H110" s="72">
        <f>SUM(C110:D110,F110:G110)/24</f>
        <v>5.083333333333333</v>
      </c>
      <c r="I110" s="182" t="s">
        <v>42</v>
      </c>
      <c r="J110" s="155">
        <v>25.5</v>
      </c>
      <c r="K110" s="156">
        <f>H110*J110</f>
        <v>129.625</v>
      </c>
    </row>
    <row r="111" spans="1:11" ht="16" x14ac:dyDescent="0.2">
      <c r="A111" s="112">
        <v>2210100009</v>
      </c>
      <c r="B111" s="83" t="s">
        <v>115</v>
      </c>
      <c r="C111" s="16">
        <v>89</v>
      </c>
      <c r="D111" s="16">
        <v>37</v>
      </c>
      <c r="E111" s="25"/>
      <c r="F111" s="32">
        <v>142</v>
      </c>
      <c r="G111" s="16">
        <v>17</v>
      </c>
      <c r="H111" s="9">
        <f t="shared" ref="H111:H130" si="5">SUM(C111:D111,F111:G111)/24</f>
        <v>11.875</v>
      </c>
      <c r="I111" s="133" t="s">
        <v>42</v>
      </c>
      <c r="J111" s="50">
        <v>25.5</v>
      </c>
      <c r="K111" s="113">
        <f>H111*J111</f>
        <v>302.8125</v>
      </c>
    </row>
    <row r="112" spans="1:11" ht="16" x14ac:dyDescent="0.2">
      <c r="A112" s="112">
        <v>2210100021</v>
      </c>
      <c r="B112" s="83" t="s">
        <v>116</v>
      </c>
      <c r="C112" s="16">
        <v>70</v>
      </c>
      <c r="D112" s="16">
        <v>21</v>
      </c>
      <c r="E112" s="25"/>
      <c r="F112" s="32">
        <v>103</v>
      </c>
      <c r="G112" s="16">
        <v>3</v>
      </c>
      <c r="H112" s="9">
        <f t="shared" si="5"/>
        <v>8.2083333333333339</v>
      </c>
      <c r="I112" s="133" t="s">
        <v>42</v>
      </c>
      <c r="J112" s="50">
        <v>31.1</v>
      </c>
      <c r="K112" s="113">
        <f>H112*J112</f>
        <v>255.2791666666667</v>
      </c>
    </row>
    <row r="113" spans="1:11" ht="16" x14ac:dyDescent="0.2">
      <c r="A113" s="112">
        <v>2210100141</v>
      </c>
      <c r="B113" s="83" t="s">
        <v>117</v>
      </c>
      <c r="C113" s="16">
        <v>0</v>
      </c>
      <c r="D113" s="16">
        <v>41</v>
      </c>
      <c r="E113" s="25"/>
      <c r="F113" s="32">
        <v>9</v>
      </c>
      <c r="G113" s="16">
        <v>4</v>
      </c>
      <c r="H113" s="9">
        <f t="shared" si="5"/>
        <v>2.25</v>
      </c>
      <c r="I113" s="133" t="s">
        <v>42</v>
      </c>
      <c r="J113" s="50">
        <v>29.2</v>
      </c>
      <c r="K113" s="113">
        <f>H113*J113</f>
        <v>65.7</v>
      </c>
    </row>
    <row r="114" spans="1:11" ht="16" x14ac:dyDescent="0.2">
      <c r="A114" s="112">
        <v>2210100268</v>
      </c>
      <c r="B114" s="83" t="s">
        <v>118</v>
      </c>
      <c r="C114" s="16">
        <v>39</v>
      </c>
      <c r="D114" s="16">
        <v>23</v>
      </c>
      <c r="E114" s="69"/>
      <c r="F114" s="32">
        <v>31</v>
      </c>
      <c r="G114" s="17">
        <v>11</v>
      </c>
      <c r="H114" s="9">
        <f t="shared" si="5"/>
        <v>4.333333333333333</v>
      </c>
      <c r="I114" s="134" t="s">
        <v>42</v>
      </c>
      <c r="J114" s="50">
        <v>25.05</v>
      </c>
      <c r="K114" s="111">
        <f t="shared" ref="K114" si="6">H114*J114</f>
        <v>108.55</v>
      </c>
    </row>
    <row r="115" spans="1:11" ht="16" x14ac:dyDescent="0.2">
      <c r="A115" s="112">
        <v>2210150006</v>
      </c>
      <c r="B115" s="83" t="s">
        <v>119</v>
      </c>
      <c r="C115" s="16">
        <v>60</v>
      </c>
      <c r="D115" s="16">
        <v>18</v>
      </c>
      <c r="E115" s="25"/>
      <c r="F115" s="32">
        <v>32</v>
      </c>
      <c r="G115" s="16">
        <v>13</v>
      </c>
      <c r="H115" s="9">
        <f t="shared" si="5"/>
        <v>5.125</v>
      </c>
      <c r="I115" s="133" t="s">
        <v>42</v>
      </c>
      <c r="J115" s="50">
        <v>29.8</v>
      </c>
      <c r="K115" s="113">
        <f>H115*J115</f>
        <v>152.72499999999999</v>
      </c>
    </row>
    <row r="116" spans="1:11" ht="16" x14ac:dyDescent="0.2">
      <c r="A116" s="112">
        <v>2210150029</v>
      </c>
      <c r="B116" s="83" t="s">
        <v>120</v>
      </c>
      <c r="C116" s="16">
        <v>14</v>
      </c>
      <c r="D116" s="16">
        <v>34</v>
      </c>
      <c r="E116" s="69"/>
      <c r="F116" s="32">
        <v>20</v>
      </c>
      <c r="G116" s="17">
        <v>8</v>
      </c>
      <c r="H116" s="9">
        <f t="shared" si="5"/>
        <v>3.1666666666666665</v>
      </c>
      <c r="I116" s="134" t="s">
        <v>42</v>
      </c>
      <c r="J116" s="50">
        <v>29.8</v>
      </c>
      <c r="K116" s="111">
        <f t="shared" ref="K116" si="7">H116*J116</f>
        <v>94.36666666666666</v>
      </c>
    </row>
    <row r="117" spans="1:11" ht="16" x14ac:dyDescent="0.2">
      <c r="A117" s="112">
        <v>2210150264</v>
      </c>
      <c r="B117" s="84" t="s">
        <v>144</v>
      </c>
      <c r="C117" s="16">
        <v>28</v>
      </c>
      <c r="D117" s="16">
        <v>13</v>
      </c>
      <c r="E117" s="69"/>
      <c r="F117" s="32">
        <v>22</v>
      </c>
      <c r="G117" s="17">
        <v>9</v>
      </c>
      <c r="H117" s="9">
        <f t="shared" si="5"/>
        <v>3</v>
      </c>
      <c r="I117" s="134" t="s">
        <v>42</v>
      </c>
      <c r="J117" s="50">
        <v>29.86</v>
      </c>
      <c r="K117" s="111">
        <f>H117*J117</f>
        <v>89.58</v>
      </c>
    </row>
    <row r="118" spans="1:11" ht="16" x14ac:dyDescent="0.2">
      <c r="A118" s="112">
        <v>2230310104</v>
      </c>
      <c r="B118" s="84" t="s">
        <v>121</v>
      </c>
      <c r="C118" s="16">
        <v>0</v>
      </c>
      <c r="D118" s="16">
        <v>0</v>
      </c>
      <c r="E118" s="69"/>
      <c r="F118" s="32">
        <v>1</v>
      </c>
      <c r="G118" s="17">
        <v>3</v>
      </c>
      <c r="H118" s="9">
        <f t="shared" si="5"/>
        <v>0.16666666666666666</v>
      </c>
      <c r="I118" s="134" t="s">
        <v>42</v>
      </c>
      <c r="J118" s="50">
        <v>30</v>
      </c>
      <c r="K118" s="111">
        <f t="shared" ref="K118:K130" si="8">H118*J118</f>
        <v>5</v>
      </c>
    </row>
    <row r="119" spans="1:11" ht="16" x14ac:dyDescent="0.2">
      <c r="A119" s="112">
        <v>2010100099</v>
      </c>
      <c r="B119" s="84" t="s">
        <v>122</v>
      </c>
      <c r="C119" s="16">
        <v>6</v>
      </c>
      <c r="D119" s="16">
        <v>17</v>
      </c>
      <c r="E119" s="25"/>
      <c r="F119" s="32">
        <v>10</v>
      </c>
      <c r="G119" s="16">
        <v>1</v>
      </c>
      <c r="H119" s="9">
        <f t="shared" si="5"/>
        <v>1.4166666666666667</v>
      </c>
      <c r="I119" s="133" t="s">
        <v>42</v>
      </c>
      <c r="J119" s="50">
        <v>30</v>
      </c>
      <c r="K119" s="113">
        <f t="shared" si="8"/>
        <v>42.5</v>
      </c>
    </row>
    <row r="120" spans="1:11" ht="16" x14ac:dyDescent="0.2">
      <c r="A120" s="112">
        <v>2010400126</v>
      </c>
      <c r="B120" s="84" t="s">
        <v>123</v>
      </c>
      <c r="C120" s="16">
        <v>1</v>
      </c>
      <c r="D120" s="16">
        <v>1</v>
      </c>
      <c r="E120" s="25"/>
      <c r="F120" s="32">
        <v>0</v>
      </c>
      <c r="G120" s="16">
        <v>0</v>
      </c>
      <c r="H120" s="9">
        <f t="shared" si="5"/>
        <v>8.3333333333333329E-2</v>
      </c>
      <c r="I120" s="133" t="s">
        <v>42</v>
      </c>
      <c r="J120" s="50">
        <v>29.4</v>
      </c>
      <c r="K120" s="113">
        <f t="shared" si="8"/>
        <v>2.4499999999999997</v>
      </c>
    </row>
    <row r="121" spans="1:11" ht="16" x14ac:dyDescent="0.2">
      <c r="A121" s="112">
        <v>2210100016</v>
      </c>
      <c r="B121" s="85" t="s">
        <v>124</v>
      </c>
      <c r="C121" s="16">
        <v>70</v>
      </c>
      <c r="D121" s="16">
        <v>34</v>
      </c>
      <c r="E121" s="69"/>
      <c r="F121" s="32">
        <v>49</v>
      </c>
      <c r="G121" s="17">
        <v>20</v>
      </c>
      <c r="H121" s="9">
        <f t="shared" si="5"/>
        <v>7.208333333333333</v>
      </c>
      <c r="I121" s="134" t="s">
        <v>42</v>
      </c>
      <c r="J121" s="50">
        <v>26.95</v>
      </c>
      <c r="K121" s="111">
        <f t="shared" si="8"/>
        <v>194.26458333333332</v>
      </c>
    </row>
    <row r="122" spans="1:11" ht="16" x14ac:dyDescent="0.2">
      <c r="A122" s="112">
        <v>2210100018</v>
      </c>
      <c r="B122" s="84" t="s">
        <v>125</v>
      </c>
      <c r="C122" s="16">
        <v>129</v>
      </c>
      <c r="D122" s="16">
        <v>23</v>
      </c>
      <c r="E122" s="69"/>
      <c r="F122" s="32">
        <v>71</v>
      </c>
      <c r="G122" s="17">
        <v>9</v>
      </c>
      <c r="H122" s="9">
        <f t="shared" si="5"/>
        <v>9.6666666666666661</v>
      </c>
      <c r="I122" s="134" t="s">
        <v>42</v>
      </c>
      <c r="J122" s="50">
        <v>26.95</v>
      </c>
      <c r="K122" s="111">
        <f t="shared" si="8"/>
        <v>260.51666666666665</v>
      </c>
    </row>
    <row r="123" spans="1:11" ht="16" x14ac:dyDescent="0.2">
      <c r="A123" s="112">
        <v>2210100053</v>
      </c>
      <c r="B123" s="84" t="s">
        <v>126</v>
      </c>
      <c r="C123" s="16">
        <v>4</v>
      </c>
      <c r="D123" s="16">
        <v>10</v>
      </c>
      <c r="E123" s="25"/>
      <c r="F123" s="32">
        <v>20</v>
      </c>
      <c r="G123" s="16">
        <v>3</v>
      </c>
      <c r="H123" s="9">
        <f t="shared" si="5"/>
        <v>1.5416666666666667</v>
      </c>
      <c r="I123" s="133" t="s">
        <v>42</v>
      </c>
      <c r="J123" s="50">
        <v>30.4</v>
      </c>
      <c r="K123" s="113">
        <f t="shared" si="8"/>
        <v>46.866666666666667</v>
      </c>
    </row>
    <row r="124" spans="1:11" ht="16" x14ac:dyDescent="0.2">
      <c r="A124" s="112">
        <v>2210100074</v>
      </c>
      <c r="B124" s="84" t="s">
        <v>127</v>
      </c>
      <c r="C124" s="16">
        <v>5</v>
      </c>
      <c r="D124" s="16">
        <v>17</v>
      </c>
      <c r="E124" s="25"/>
      <c r="F124" s="32">
        <v>24</v>
      </c>
      <c r="G124" s="16">
        <v>6</v>
      </c>
      <c r="H124" s="9">
        <f t="shared" si="5"/>
        <v>2.1666666666666665</v>
      </c>
      <c r="I124" s="133" t="s">
        <v>42</v>
      </c>
      <c r="J124" s="50">
        <v>30</v>
      </c>
      <c r="K124" s="113">
        <f t="shared" si="8"/>
        <v>65</v>
      </c>
    </row>
    <row r="125" spans="1:11" ht="16" x14ac:dyDescent="0.2">
      <c r="A125" s="112">
        <v>2210100091</v>
      </c>
      <c r="B125" s="84" t="s">
        <v>128</v>
      </c>
      <c r="C125" s="16">
        <v>8</v>
      </c>
      <c r="D125" s="16">
        <v>5</v>
      </c>
      <c r="E125" s="25"/>
      <c r="F125" s="32">
        <v>10</v>
      </c>
      <c r="G125" s="16">
        <v>4</v>
      </c>
      <c r="H125" s="9">
        <f t="shared" si="5"/>
        <v>1.125</v>
      </c>
      <c r="I125" s="133" t="s">
        <v>42</v>
      </c>
      <c r="J125" s="50">
        <v>45</v>
      </c>
      <c r="K125" s="113">
        <f t="shared" si="8"/>
        <v>50.625</v>
      </c>
    </row>
    <row r="126" spans="1:11" ht="16" x14ac:dyDescent="0.2">
      <c r="A126" s="112">
        <v>2210100151</v>
      </c>
      <c r="B126" s="84" t="s">
        <v>143</v>
      </c>
      <c r="C126" s="16">
        <v>6</v>
      </c>
      <c r="D126" s="16">
        <v>21</v>
      </c>
      <c r="E126" s="25"/>
      <c r="F126" s="32">
        <v>25</v>
      </c>
      <c r="G126" s="16">
        <v>7</v>
      </c>
      <c r="H126" s="9">
        <f t="shared" si="5"/>
        <v>2.4583333333333335</v>
      </c>
      <c r="I126" s="133" t="s">
        <v>42</v>
      </c>
      <c r="J126" s="50">
        <v>30</v>
      </c>
      <c r="K126" s="113">
        <f t="shared" si="8"/>
        <v>73.75</v>
      </c>
    </row>
    <row r="127" spans="1:11" ht="16" x14ac:dyDescent="0.2">
      <c r="A127" s="112">
        <v>2210101187</v>
      </c>
      <c r="B127" s="92" t="s">
        <v>146</v>
      </c>
      <c r="C127" s="16">
        <v>5</v>
      </c>
      <c r="D127" s="16">
        <v>43</v>
      </c>
      <c r="E127" s="25"/>
      <c r="F127" s="32">
        <v>45</v>
      </c>
      <c r="G127" s="16">
        <v>5</v>
      </c>
      <c r="H127" s="9">
        <f t="shared" si="5"/>
        <v>4.083333333333333</v>
      </c>
      <c r="I127" s="134" t="s">
        <v>42</v>
      </c>
      <c r="J127" s="50">
        <v>25.6</v>
      </c>
      <c r="K127" s="113">
        <f t="shared" si="8"/>
        <v>104.53333333333333</v>
      </c>
    </row>
    <row r="128" spans="1:11" ht="16" x14ac:dyDescent="0.2">
      <c r="A128" s="112">
        <v>2210150007</v>
      </c>
      <c r="B128" s="84" t="s">
        <v>129</v>
      </c>
      <c r="C128" s="16">
        <v>34</v>
      </c>
      <c r="D128" s="16">
        <v>21</v>
      </c>
      <c r="E128" s="25"/>
      <c r="F128" s="32">
        <v>33</v>
      </c>
      <c r="G128" s="16">
        <v>11</v>
      </c>
      <c r="H128" s="9">
        <f t="shared" si="5"/>
        <v>4.125</v>
      </c>
      <c r="I128" s="133" t="s">
        <v>42</v>
      </c>
      <c r="J128" s="50">
        <v>30.22</v>
      </c>
      <c r="K128" s="113">
        <f t="shared" si="8"/>
        <v>124.6575</v>
      </c>
    </row>
    <row r="129" spans="1:11" ht="16" x14ac:dyDescent="0.2">
      <c r="A129" s="112">
        <v>2210300010</v>
      </c>
      <c r="B129" s="84" t="s">
        <v>130</v>
      </c>
      <c r="C129" s="16">
        <v>7</v>
      </c>
      <c r="D129" s="16">
        <v>18</v>
      </c>
      <c r="E129" s="25"/>
      <c r="F129" s="32">
        <v>0</v>
      </c>
      <c r="G129" s="16">
        <v>7</v>
      </c>
      <c r="H129" s="9">
        <f t="shared" si="5"/>
        <v>1.3333333333333333</v>
      </c>
      <c r="I129" s="133" t="s">
        <v>42</v>
      </c>
      <c r="J129" s="50">
        <v>25.5</v>
      </c>
      <c r="K129" s="113">
        <f t="shared" si="8"/>
        <v>34</v>
      </c>
    </row>
    <row r="130" spans="1:11" ht="17" thickBot="1" x14ac:dyDescent="0.25">
      <c r="A130" s="115">
        <v>2210150092</v>
      </c>
      <c r="B130" s="116" t="s">
        <v>137</v>
      </c>
      <c r="C130" s="76">
        <v>5</v>
      </c>
      <c r="D130" s="76">
        <v>15</v>
      </c>
      <c r="E130" s="120"/>
      <c r="F130" s="210">
        <v>18</v>
      </c>
      <c r="G130" s="77">
        <v>2</v>
      </c>
      <c r="H130" s="121">
        <f t="shared" si="5"/>
        <v>1.6666666666666667</v>
      </c>
      <c r="I130" s="103" t="s">
        <v>42</v>
      </c>
      <c r="J130" s="117">
        <v>30.75</v>
      </c>
      <c r="K130" s="118">
        <f t="shared" si="8"/>
        <v>51.25</v>
      </c>
    </row>
    <row r="134" spans="1:11" ht="16" thickBot="1" x14ac:dyDescent="0.25">
      <c r="A134" s="143"/>
      <c r="B134" s="144" t="s">
        <v>0</v>
      </c>
      <c r="C134" s="145"/>
      <c r="D134" s="145"/>
      <c r="E134" s="145"/>
      <c r="F134" s="145"/>
      <c r="G134" s="145"/>
      <c r="H134" s="145"/>
      <c r="I134" s="146" t="s">
        <v>1</v>
      </c>
      <c r="J134" s="147">
        <v>46023</v>
      </c>
      <c r="K134" s="148"/>
    </row>
    <row r="135" spans="1:11" ht="33" thickBot="1" x14ac:dyDescent="0.25">
      <c r="A135" s="67" t="s">
        <v>2</v>
      </c>
      <c r="B135" s="88" t="s">
        <v>131</v>
      </c>
      <c r="C135" s="183" t="s">
        <v>4</v>
      </c>
      <c r="D135" s="2" t="s">
        <v>5</v>
      </c>
      <c r="E135" s="60"/>
      <c r="F135" s="221" t="s">
        <v>7</v>
      </c>
      <c r="G135" s="4" t="s">
        <v>8</v>
      </c>
      <c r="H135" s="5" t="s">
        <v>9</v>
      </c>
      <c r="I135" s="6" t="s">
        <v>10</v>
      </c>
      <c r="J135" s="7" t="s">
        <v>113</v>
      </c>
      <c r="K135" s="8" t="s">
        <v>12</v>
      </c>
    </row>
    <row r="136" spans="1:11" ht="16" x14ac:dyDescent="0.2">
      <c r="A136" s="112">
        <v>2210100007</v>
      </c>
      <c r="B136" s="82" t="s">
        <v>114</v>
      </c>
      <c r="C136" s="89"/>
      <c r="D136" s="10">
        <v>6</v>
      </c>
      <c r="E136" s="89"/>
      <c r="F136" s="209">
        <v>8</v>
      </c>
      <c r="G136" s="11">
        <v>5</v>
      </c>
      <c r="H136" s="9">
        <f>D136+F136+G136</f>
        <v>19</v>
      </c>
      <c r="I136" s="134" t="s">
        <v>42</v>
      </c>
      <c r="J136" s="49">
        <v>25.5</v>
      </c>
      <c r="K136" s="111">
        <f t="shared" ref="K136:K156" si="9">H136*J136</f>
        <v>484.5</v>
      </c>
    </row>
    <row r="137" spans="1:11" ht="16" x14ac:dyDescent="0.2">
      <c r="A137" s="110">
        <v>2210100009</v>
      </c>
      <c r="B137" s="83" t="s">
        <v>115</v>
      </c>
      <c r="C137" s="69"/>
      <c r="D137" s="16">
        <v>13</v>
      </c>
      <c r="E137" s="69"/>
      <c r="F137" s="32">
        <v>17</v>
      </c>
      <c r="G137" s="17">
        <v>6</v>
      </c>
      <c r="H137" s="9">
        <f t="shared" ref="H137:H156" si="10">D137+F137+G137</f>
        <v>36</v>
      </c>
      <c r="I137" s="134" t="s">
        <v>42</v>
      </c>
      <c r="J137" s="50">
        <v>25.5</v>
      </c>
      <c r="K137" s="111">
        <f t="shared" si="9"/>
        <v>918</v>
      </c>
    </row>
    <row r="138" spans="1:11" ht="16" x14ac:dyDescent="0.2">
      <c r="A138" s="114">
        <v>2210100021</v>
      </c>
      <c r="B138" s="83" t="s">
        <v>116</v>
      </c>
      <c r="C138" s="69"/>
      <c r="D138" s="16">
        <v>10</v>
      </c>
      <c r="E138" s="69"/>
      <c r="F138" s="32">
        <v>13</v>
      </c>
      <c r="G138" s="17">
        <v>6</v>
      </c>
      <c r="H138" s="9"/>
      <c r="I138" s="134" t="s">
        <v>42</v>
      </c>
      <c r="J138" s="50">
        <v>31.1</v>
      </c>
      <c r="K138" s="111">
        <f t="shared" si="9"/>
        <v>0</v>
      </c>
    </row>
    <row r="139" spans="1:11" ht="16" x14ac:dyDescent="0.2">
      <c r="A139" s="112">
        <v>2210100141</v>
      </c>
      <c r="B139" s="83" t="s">
        <v>117</v>
      </c>
      <c r="C139" s="69"/>
      <c r="D139" s="16">
        <v>0</v>
      </c>
      <c r="E139" s="69"/>
      <c r="F139" s="32">
        <v>0</v>
      </c>
      <c r="G139" s="17">
        <v>0</v>
      </c>
      <c r="H139" s="9">
        <f t="shared" si="10"/>
        <v>0</v>
      </c>
      <c r="I139" s="134" t="s">
        <v>42</v>
      </c>
      <c r="J139" s="50">
        <v>29.2</v>
      </c>
      <c r="K139" s="111">
        <f t="shared" si="9"/>
        <v>0</v>
      </c>
    </row>
    <row r="140" spans="1:11" ht="16" x14ac:dyDescent="0.2">
      <c r="A140" s="112">
        <v>2210100268</v>
      </c>
      <c r="B140" s="83" t="s">
        <v>118</v>
      </c>
      <c r="C140" s="69"/>
      <c r="D140" s="16">
        <v>10</v>
      </c>
      <c r="E140" s="69"/>
      <c r="F140" s="32">
        <v>8</v>
      </c>
      <c r="G140" s="17">
        <v>2</v>
      </c>
      <c r="H140" s="9">
        <f t="shared" si="10"/>
        <v>20</v>
      </c>
      <c r="I140" s="134" t="s">
        <v>42</v>
      </c>
      <c r="J140" s="50">
        <v>25.05</v>
      </c>
      <c r="K140" s="111">
        <f t="shared" si="9"/>
        <v>501</v>
      </c>
    </row>
    <row r="141" spans="1:11" ht="16" x14ac:dyDescent="0.2">
      <c r="A141" s="112">
        <v>2210150006</v>
      </c>
      <c r="B141" s="83" t="s">
        <v>119</v>
      </c>
      <c r="C141" s="69"/>
      <c r="D141" s="16">
        <v>8</v>
      </c>
      <c r="E141" s="69"/>
      <c r="F141" s="32">
        <v>9</v>
      </c>
      <c r="G141" s="17">
        <v>2</v>
      </c>
      <c r="H141" s="9">
        <f t="shared" si="10"/>
        <v>19</v>
      </c>
      <c r="I141" s="134" t="s">
        <v>42</v>
      </c>
      <c r="J141" s="50">
        <v>29.8</v>
      </c>
      <c r="K141" s="111">
        <f t="shared" si="9"/>
        <v>566.20000000000005</v>
      </c>
    </row>
    <row r="142" spans="1:11" ht="16" x14ac:dyDescent="0.2">
      <c r="A142" s="112">
        <v>2210150029</v>
      </c>
      <c r="B142" s="83" t="s">
        <v>120</v>
      </c>
      <c r="C142" s="69"/>
      <c r="D142" s="16">
        <v>2</v>
      </c>
      <c r="E142" s="69"/>
      <c r="F142" s="32">
        <v>2</v>
      </c>
      <c r="G142" s="17">
        <v>0</v>
      </c>
      <c r="H142" s="9">
        <f t="shared" si="10"/>
        <v>4</v>
      </c>
      <c r="I142" s="134" t="s">
        <v>42</v>
      </c>
      <c r="J142" s="50">
        <v>29.8</v>
      </c>
      <c r="K142" s="111">
        <f t="shared" si="9"/>
        <v>119.2</v>
      </c>
    </row>
    <row r="143" spans="1:11" ht="16" x14ac:dyDescent="0.2">
      <c r="A143" s="112">
        <v>2210150264</v>
      </c>
      <c r="B143" s="84" t="s">
        <v>144</v>
      </c>
      <c r="C143" s="69"/>
      <c r="D143" s="16">
        <v>2</v>
      </c>
      <c r="E143" s="69"/>
      <c r="F143" s="32">
        <v>0</v>
      </c>
      <c r="G143" s="17">
        <v>1</v>
      </c>
      <c r="H143" s="9">
        <f>D143+F143+G143</f>
        <v>3</v>
      </c>
      <c r="I143" s="134" t="s">
        <v>42</v>
      </c>
      <c r="J143" s="50">
        <v>29.86</v>
      </c>
      <c r="K143" s="111">
        <f>H143*J143</f>
        <v>89.58</v>
      </c>
    </row>
    <row r="144" spans="1:11" ht="16" x14ac:dyDescent="0.2">
      <c r="A144" s="112">
        <v>2230310104</v>
      </c>
      <c r="B144" s="84" t="s">
        <v>121</v>
      </c>
      <c r="C144" s="69"/>
      <c r="D144" s="16">
        <v>0</v>
      </c>
      <c r="E144" s="69"/>
      <c r="F144" s="32">
        <v>0</v>
      </c>
      <c r="G144" s="17">
        <v>0</v>
      </c>
      <c r="H144" s="9">
        <f t="shared" si="10"/>
        <v>0</v>
      </c>
      <c r="I144" s="134" t="s">
        <v>42</v>
      </c>
      <c r="J144" s="50">
        <v>30</v>
      </c>
      <c r="K144" s="111">
        <f t="shared" si="9"/>
        <v>0</v>
      </c>
    </row>
    <row r="145" spans="1:11" ht="16" x14ac:dyDescent="0.2">
      <c r="A145" s="112">
        <v>2230310089</v>
      </c>
      <c r="B145" s="84" t="s">
        <v>122</v>
      </c>
      <c r="C145" s="69"/>
      <c r="D145" s="16">
        <v>0</v>
      </c>
      <c r="E145" s="69"/>
      <c r="F145" s="32">
        <v>1</v>
      </c>
      <c r="G145" s="17">
        <v>2</v>
      </c>
      <c r="H145" s="9">
        <f t="shared" si="10"/>
        <v>3</v>
      </c>
      <c r="I145" s="134" t="s">
        <v>42</v>
      </c>
      <c r="J145" s="50">
        <v>30</v>
      </c>
      <c r="K145" s="111">
        <f t="shared" si="9"/>
        <v>90</v>
      </c>
    </row>
    <row r="146" spans="1:11" ht="16" x14ac:dyDescent="0.2">
      <c r="A146" s="112">
        <v>2010400126</v>
      </c>
      <c r="B146" s="84" t="s">
        <v>123</v>
      </c>
      <c r="C146" s="69"/>
      <c r="D146" s="16">
        <v>0</v>
      </c>
      <c r="E146" s="69"/>
      <c r="F146" s="32">
        <v>0</v>
      </c>
      <c r="G146" s="17">
        <v>0</v>
      </c>
      <c r="H146" s="9">
        <f t="shared" si="10"/>
        <v>0</v>
      </c>
      <c r="I146" s="134" t="s">
        <v>42</v>
      </c>
      <c r="J146" s="50">
        <v>29.4</v>
      </c>
      <c r="K146" s="111">
        <f t="shared" si="9"/>
        <v>0</v>
      </c>
    </row>
    <row r="147" spans="1:11" ht="16" x14ac:dyDescent="0.2">
      <c r="A147" s="112">
        <v>2210100016</v>
      </c>
      <c r="B147" s="85" t="s">
        <v>124</v>
      </c>
      <c r="C147" s="69"/>
      <c r="D147" s="16">
        <v>2</v>
      </c>
      <c r="E147" s="69"/>
      <c r="F147" s="32">
        <v>8</v>
      </c>
      <c r="G147" s="17">
        <v>9</v>
      </c>
      <c r="H147" s="9">
        <f t="shared" si="10"/>
        <v>19</v>
      </c>
      <c r="I147" s="134" t="s">
        <v>42</v>
      </c>
      <c r="J147" s="50">
        <v>26.95</v>
      </c>
      <c r="K147" s="111">
        <f t="shared" si="9"/>
        <v>512.04999999999995</v>
      </c>
    </row>
    <row r="148" spans="1:11" ht="16" x14ac:dyDescent="0.2">
      <c r="A148" s="112">
        <v>2210100018</v>
      </c>
      <c r="B148" s="84" t="s">
        <v>125</v>
      </c>
      <c r="C148" s="69"/>
      <c r="D148" s="16">
        <v>0</v>
      </c>
      <c r="E148" s="69"/>
      <c r="F148" s="32">
        <v>7</v>
      </c>
      <c r="G148" s="17">
        <v>5</v>
      </c>
      <c r="H148" s="9">
        <f t="shared" si="10"/>
        <v>12</v>
      </c>
      <c r="I148" s="134" t="s">
        <v>42</v>
      </c>
      <c r="J148" s="50">
        <v>26.95</v>
      </c>
      <c r="K148" s="111">
        <f t="shared" si="9"/>
        <v>323.39999999999998</v>
      </c>
    </row>
    <row r="149" spans="1:11" ht="16" x14ac:dyDescent="0.2">
      <c r="A149" s="112">
        <v>2210100053</v>
      </c>
      <c r="B149" s="84" t="s">
        <v>126</v>
      </c>
      <c r="C149" s="90"/>
      <c r="D149" s="53">
        <v>0</v>
      </c>
      <c r="E149" s="90"/>
      <c r="F149" s="207">
        <v>0</v>
      </c>
      <c r="G149" s="54">
        <v>1.5</v>
      </c>
      <c r="H149" s="9">
        <f t="shared" si="10"/>
        <v>1.5</v>
      </c>
      <c r="I149" s="135" t="s">
        <v>42</v>
      </c>
      <c r="J149" s="55">
        <v>30.4</v>
      </c>
      <c r="K149" s="119">
        <f t="shared" si="9"/>
        <v>45.599999999999994</v>
      </c>
    </row>
    <row r="150" spans="1:11" ht="16" x14ac:dyDescent="0.2">
      <c r="A150" s="110">
        <v>2210100074</v>
      </c>
      <c r="B150" s="91" t="s">
        <v>127</v>
      </c>
      <c r="C150" s="69"/>
      <c r="D150" s="16">
        <v>0</v>
      </c>
      <c r="E150" s="69"/>
      <c r="F150" s="32">
        <v>0</v>
      </c>
      <c r="G150" s="17">
        <v>1</v>
      </c>
      <c r="H150" s="9">
        <f t="shared" si="10"/>
        <v>1</v>
      </c>
      <c r="I150" s="134" t="s">
        <v>42</v>
      </c>
      <c r="J150" s="50">
        <v>30</v>
      </c>
      <c r="K150" s="111">
        <f t="shared" si="9"/>
        <v>30</v>
      </c>
    </row>
    <row r="151" spans="1:11" ht="16" x14ac:dyDescent="0.2">
      <c r="A151" s="112">
        <v>2210100091</v>
      </c>
      <c r="B151" s="84" t="s">
        <v>128</v>
      </c>
      <c r="C151" s="69"/>
      <c r="D151" s="16">
        <v>0</v>
      </c>
      <c r="E151" s="69"/>
      <c r="F151" s="32">
        <v>0</v>
      </c>
      <c r="G151" s="17">
        <v>0</v>
      </c>
      <c r="H151" s="9">
        <f t="shared" si="10"/>
        <v>0</v>
      </c>
      <c r="I151" s="134" t="s">
        <v>42</v>
      </c>
      <c r="J151" s="50">
        <v>45</v>
      </c>
      <c r="K151" s="111">
        <f t="shared" si="9"/>
        <v>0</v>
      </c>
    </row>
    <row r="152" spans="1:11" ht="16" x14ac:dyDescent="0.2">
      <c r="A152" s="112">
        <v>2210100151</v>
      </c>
      <c r="B152" s="84" t="s">
        <v>143</v>
      </c>
      <c r="C152" s="69"/>
      <c r="D152" s="16">
        <v>1</v>
      </c>
      <c r="E152" s="69"/>
      <c r="F152" s="32">
        <v>0</v>
      </c>
      <c r="G152" s="17">
        <v>1</v>
      </c>
      <c r="H152" s="9">
        <f t="shared" si="10"/>
        <v>2</v>
      </c>
      <c r="I152" s="134" t="s">
        <v>42</v>
      </c>
      <c r="J152" s="50">
        <v>30</v>
      </c>
      <c r="K152" s="111">
        <f t="shared" si="9"/>
        <v>60</v>
      </c>
    </row>
    <row r="153" spans="1:11" ht="16" x14ac:dyDescent="0.2">
      <c r="A153" s="112">
        <v>2210101187</v>
      </c>
      <c r="B153" s="92" t="s">
        <v>146</v>
      </c>
      <c r="C153" s="69"/>
      <c r="D153" s="16">
        <v>0</v>
      </c>
      <c r="E153" s="69"/>
      <c r="F153" s="32">
        <v>2.5</v>
      </c>
      <c r="G153" s="17">
        <v>0.5</v>
      </c>
      <c r="H153" s="9">
        <f t="shared" si="10"/>
        <v>3</v>
      </c>
      <c r="I153" s="134" t="s">
        <v>42</v>
      </c>
      <c r="J153" s="50">
        <v>25.6</v>
      </c>
      <c r="K153" s="111">
        <f t="shared" si="9"/>
        <v>76.800000000000011</v>
      </c>
    </row>
    <row r="154" spans="1:11" ht="16" x14ac:dyDescent="0.2">
      <c r="A154" s="112">
        <v>2210300010</v>
      </c>
      <c r="B154" s="92" t="s">
        <v>129</v>
      </c>
      <c r="C154" s="69"/>
      <c r="D154" s="16">
        <v>3</v>
      </c>
      <c r="E154" s="69"/>
      <c r="F154" s="32">
        <v>2</v>
      </c>
      <c r="G154" s="17">
        <v>1</v>
      </c>
      <c r="H154" s="9">
        <f t="shared" si="10"/>
        <v>6</v>
      </c>
      <c r="I154" s="134" t="s">
        <v>42</v>
      </c>
      <c r="J154" s="50">
        <v>30.22</v>
      </c>
      <c r="K154" s="111">
        <f t="shared" si="9"/>
        <v>181.32</v>
      </c>
    </row>
    <row r="155" spans="1:11" ht="16" x14ac:dyDescent="0.2">
      <c r="A155" s="112">
        <v>2210300010</v>
      </c>
      <c r="B155" s="84" t="s">
        <v>130</v>
      </c>
      <c r="C155" s="69"/>
      <c r="D155" s="16">
        <v>0</v>
      </c>
      <c r="E155" s="69"/>
      <c r="F155" s="32">
        <v>8</v>
      </c>
      <c r="G155" s="17">
        <v>0.5</v>
      </c>
      <c r="H155" s="15">
        <f t="shared" si="10"/>
        <v>8.5</v>
      </c>
      <c r="I155" s="96" t="s">
        <v>42</v>
      </c>
      <c r="J155" s="50">
        <v>25.5</v>
      </c>
      <c r="K155" s="113">
        <f t="shared" si="9"/>
        <v>216.75</v>
      </c>
    </row>
    <row r="156" spans="1:11" ht="17" thickBot="1" x14ac:dyDescent="0.25">
      <c r="A156" s="189">
        <v>2210150092</v>
      </c>
      <c r="B156" s="190" t="s">
        <v>137</v>
      </c>
      <c r="C156" s="191"/>
      <c r="D156" s="192">
        <v>1</v>
      </c>
      <c r="E156" s="191"/>
      <c r="F156" s="225">
        <v>1</v>
      </c>
      <c r="G156" s="193">
        <v>1</v>
      </c>
      <c r="H156" s="121">
        <f t="shared" si="10"/>
        <v>3</v>
      </c>
      <c r="I156" s="194" t="s">
        <v>42</v>
      </c>
      <c r="J156" s="195">
        <v>30.75</v>
      </c>
      <c r="K156" s="126">
        <f t="shared" si="9"/>
        <v>92.25</v>
      </c>
    </row>
    <row r="157" spans="1:11" ht="16" thickBot="1" x14ac:dyDescent="0.25">
      <c r="A157" s="86"/>
      <c r="B157" s="87"/>
      <c r="C157" s="33"/>
      <c r="D157" s="33"/>
      <c r="E157" s="33"/>
      <c r="F157" s="79"/>
      <c r="G157" s="33"/>
      <c r="H157" s="33"/>
      <c r="I157" s="34"/>
      <c r="J157" s="51"/>
      <c r="K157" s="51"/>
    </row>
    <row r="158" spans="1:11" ht="33" hidden="1" thickBot="1" x14ac:dyDescent="0.25">
      <c r="A158" s="67" t="s">
        <v>2</v>
      </c>
      <c r="B158" s="93" t="s">
        <v>132</v>
      </c>
      <c r="C158" s="52" t="s">
        <v>4</v>
      </c>
      <c r="D158" s="2" t="s">
        <v>5</v>
      </c>
      <c r="E158" s="60"/>
      <c r="F158" s="226"/>
      <c r="G158" s="56" t="s">
        <v>8</v>
      </c>
      <c r="H158" s="5" t="s">
        <v>9</v>
      </c>
      <c r="I158" s="6" t="s">
        <v>10</v>
      </c>
      <c r="J158" s="7" t="s">
        <v>133</v>
      </c>
      <c r="K158" s="8" t="s">
        <v>12</v>
      </c>
    </row>
    <row r="159" spans="1:11" x14ac:dyDescent="0.2">
      <c r="A159" s="150">
        <v>2210200045</v>
      </c>
      <c r="B159" s="151" t="s">
        <v>125</v>
      </c>
      <c r="C159" s="152"/>
      <c r="D159" s="70">
        <v>1</v>
      </c>
      <c r="E159" s="153"/>
      <c r="F159" s="220"/>
      <c r="G159" s="71">
        <v>1</v>
      </c>
      <c r="H159" s="30">
        <f>SUM(D159:G159)</f>
        <v>2</v>
      </c>
      <c r="I159" s="154" t="s">
        <v>134</v>
      </c>
      <c r="J159" s="155">
        <v>126.75</v>
      </c>
      <c r="K159" s="156">
        <f>H159*J159</f>
        <v>253.5</v>
      </c>
    </row>
    <row r="160" spans="1:11" x14ac:dyDescent="0.2">
      <c r="A160" s="110">
        <v>2210200262</v>
      </c>
      <c r="B160" s="94" t="s">
        <v>139</v>
      </c>
      <c r="C160" s="42"/>
      <c r="D160" s="10">
        <v>2</v>
      </c>
      <c r="E160" s="89"/>
      <c r="F160" s="217"/>
      <c r="G160" s="11">
        <v>2</v>
      </c>
      <c r="H160" s="12">
        <f>SUM(C160:G160)</f>
        <v>4</v>
      </c>
      <c r="I160" s="13" t="s">
        <v>134</v>
      </c>
      <c r="J160" s="49">
        <v>146.75</v>
      </c>
      <c r="K160" s="111">
        <f>H160*J160</f>
        <v>587</v>
      </c>
    </row>
    <row r="161" spans="1:11" x14ac:dyDescent="0.2">
      <c r="A161" s="112">
        <v>2210200072</v>
      </c>
      <c r="B161" s="95" t="s">
        <v>124</v>
      </c>
      <c r="C161" s="25"/>
      <c r="D161" s="16">
        <v>1</v>
      </c>
      <c r="E161" s="69"/>
      <c r="F161" s="214"/>
      <c r="G161" s="17">
        <v>1.75</v>
      </c>
      <c r="H161" s="12">
        <f t="shared" ref="H161:H164" si="11">SUM(D161:G161)</f>
        <v>2.75</v>
      </c>
      <c r="I161" s="13" t="s">
        <v>134</v>
      </c>
      <c r="J161" s="50">
        <v>126.75</v>
      </c>
      <c r="K161" s="111">
        <f t="shared" ref="K161:K164" si="12">H161*J161</f>
        <v>348.5625</v>
      </c>
    </row>
    <row r="162" spans="1:11" x14ac:dyDescent="0.2">
      <c r="A162" s="122">
        <v>2210200083</v>
      </c>
      <c r="B162" s="95" t="s">
        <v>135</v>
      </c>
      <c r="C162" s="25"/>
      <c r="D162" s="16">
        <v>1</v>
      </c>
      <c r="E162" s="69"/>
      <c r="F162" s="214"/>
      <c r="G162" s="17">
        <v>0</v>
      </c>
      <c r="H162" s="12">
        <f t="shared" si="11"/>
        <v>1</v>
      </c>
      <c r="I162" s="13" t="s">
        <v>134</v>
      </c>
      <c r="J162" s="50">
        <v>151</v>
      </c>
      <c r="K162" s="111">
        <f t="shared" si="12"/>
        <v>151</v>
      </c>
    </row>
    <row r="163" spans="1:11" x14ac:dyDescent="0.2">
      <c r="A163" s="112">
        <v>2210200345</v>
      </c>
      <c r="B163" s="95" t="s">
        <v>136</v>
      </c>
      <c r="C163" s="25"/>
      <c r="D163" s="16">
        <v>1</v>
      </c>
      <c r="E163" s="69"/>
      <c r="F163" s="214"/>
      <c r="G163" s="17">
        <v>1</v>
      </c>
      <c r="H163" s="12">
        <f t="shared" si="11"/>
        <v>2</v>
      </c>
      <c r="I163" s="13" t="s">
        <v>134</v>
      </c>
      <c r="J163" s="50">
        <v>149</v>
      </c>
      <c r="K163" s="111">
        <f t="shared" si="12"/>
        <v>298</v>
      </c>
    </row>
    <row r="164" spans="1:11" ht="16" thickBot="1" x14ac:dyDescent="0.25">
      <c r="A164" s="123">
        <v>2210200485</v>
      </c>
      <c r="B164" s="124" t="s">
        <v>140</v>
      </c>
      <c r="C164" s="109"/>
      <c r="D164" s="76">
        <v>0.5</v>
      </c>
      <c r="E164" s="120"/>
      <c r="F164" s="215"/>
      <c r="G164" s="77">
        <v>0</v>
      </c>
      <c r="H164" s="100">
        <f t="shared" si="11"/>
        <v>0.5</v>
      </c>
      <c r="I164" s="125" t="s">
        <v>134</v>
      </c>
      <c r="J164" s="117">
        <v>129.75</v>
      </c>
      <c r="K164" s="126">
        <f t="shared" si="12"/>
        <v>64.875</v>
      </c>
    </row>
    <row r="165" spans="1:11" ht="16" thickBot="1" x14ac:dyDescent="0.25">
      <c r="A165" s="239"/>
      <c r="B165" s="124"/>
      <c r="C165" s="232"/>
      <c r="D165" s="232"/>
      <c r="E165" s="232"/>
      <c r="F165" s="245"/>
      <c r="G165" s="233"/>
      <c r="H165" s="240"/>
      <c r="I165" s="241"/>
      <c r="J165" s="242"/>
      <c r="K165" s="243"/>
    </row>
    <row r="166" spans="1:11" ht="16" x14ac:dyDescent="0.2">
      <c r="H166" s="57" t="s">
        <v>138</v>
      </c>
      <c r="I166" s="58"/>
      <c r="J166" s="136"/>
      <c r="K166" s="136">
        <f>SUM(K110:K131,K136:K155,K159:K165)</f>
        <v>8171.3895833333327</v>
      </c>
    </row>
  </sheetData>
  <pageMargins left="0" right="0" top="0.25" bottom="0.25" header="0.3" footer="0.3"/>
  <pageSetup scale="78" orientation="portrait" r:id="rId1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2C02-3F71-44A0-9A98-6DD2E222693D}">
  <sheetPr>
    <tabColor theme="2"/>
  </sheetPr>
  <dimension ref="A1:Y168"/>
  <sheetViews>
    <sheetView topLeftCell="A82" zoomScaleNormal="100" workbookViewId="0">
      <selection activeCell="J166" sqref="J166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4" max="5" width="9.1640625" style="278"/>
    <col min="8" max="8" width="12.5" bestFit="1" customWidth="1"/>
    <col min="9" max="9" width="11" bestFit="1" customWidth="1"/>
    <col min="10" max="10" width="8.83203125" bestFit="1" customWidth="1"/>
    <col min="11" max="11" width="14.1640625" customWidth="1"/>
    <col min="15" max="15" width="11.5" bestFit="1" customWidth="1"/>
  </cols>
  <sheetData>
    <row r="1" spans="1:11" ht="16" thickBot="1" x14ac:dyDescent="0.25">
      <c r="A1" s="137"/>
      <c r="B1" s="138" t="s">
        <v>0</v>
      </c>
      <c r="C1" s="139"/>
      <c r="D1" s="273"/>
      <c r="E1" s="273"/>
      <c r="F1" s="139"/>
      <c r="G1" s="139"/>
      <c r="H1" s="139"/>
      <c r="I1" s="140" t="s">
        <v>1</v>
      </c>
      <c r="J1" s="141">
        <v>45689</v>
      </c>
      <c r="K1" s="142"/>
    </row>
    <row r="2" spans="1:11" ht="33" thickBot="1" x14ac:dyDescent="0.25">
      <c r="A2" s="67" t="s">
        <v>2</v>
      </c>
      <c r="B2" s="47" t="s">
        <v>3</v>
      </c>
      <c r="C2" s="1" t="s">
        <v>4</v>
      </c>
      <c r="D2" s="2" t="s">
        <v>5</v>
      </c>
      <c r="E2" s="2" t="s">
        <v>6</v>
      </c>
      <c r="F2" s="3" t="s">
        <v>7</v>
      </c>
      <c r="G2" s="4" t="s">
        <v>8</v>
      </c>
      <c r="H2" s="5" t="s">
        <v>9</v>
      </c>
      <c r="I2" s="6" t="s">
        <v>10</v>
      </c>
      <c r="J2" s="7" t="s">
        <v>11</v>
      </c>
      <c r="K2" s="8" t="s">
        <v>12</v>
      </c>
    </row>
    <row r="3" spans="1:11" x14ac:dyDescent="0.2">
      <c r="A3" s="104">
        <v>2230350002</v>
      </c>
      <c r="B3" s="9" t="s">
        <v>13</v>
      </c>
      <c r="C3" s="70">
        <v>1.5</v>
      </c>
      <c r="D3" s="274">
        <v>1</v>
      </c>
      <c r="E3" s="274">
        <v>2</v>
      </c>
      <c r="F3" s="70">
        <v>1.5</v>
      </c>
      <c r="G3" s="70">
        <v>1.5</v>
      </c>
      <c r="H3" s="184">
        <f>SUM(C3:G3)</f>
        <v>7.5</v>
      </c>
      <c r="I3" s="40" t="s">
        <v>14</v>
      </c>
      <c r="J3" s="14">
        <v>26.33</v>
      </c>
      <c r="K3" s="75">
        <f>H3*J3</f>
        <v>197.47499999999999</v>
      </c>
    </row>
    <row r="4" spans="1:11" x14ac:dyDescent="0.2">
      <c r="A4" s="73">
        <v>2230400014</v>
      </c>
      <c r="B4" s="15" t="s">
        <v>15</v>
      </c>
      <c r="C4" s="16">
        <v>0.5</v>
      </c>
      <c r="D4" s="196">
        <v>0</v>
      </c>
      <c r="E4" s="196">
        <v>1</v>
      </c>
      <c r="F4" s="16">
        <v>1.5</v>
      </c>
      <c r="G4" s="16">
        <v>1</v>
      </c>
      <c r="H4" s="15">
        <f t="shared" ref="H4:H24" si="0">SUM(C4:G4)</f>
        <v>4</v>
      </c>
      <c r="I4" s="96">
        <v>750</v>
      </c>
      <c r="J4" s="18">
        <v>26.25</v>
      </c>
      <c r="K4" s="74">
        <f>H4*J4</f>
        <v>105</v>
      </c>
    </row>
    <row r="5" spans="1:11" x14ac:dyDescent="0.2">
      <c r="A5" s="73">
        <v>2230400016</v>
      </c>
      <c r="B5" s="15" t="s">
        <v>16</v>
      </c>
      <c r="C5" s="16">
        <v>1.75</v>
      </c>
      <c r="D5" s="196">
        <v>1</v>
      </c>
      <c r="E5" s="196">
        <v>2</v>
      </c>
      <c r="F5" s="16">
        <v>1.5</v>
      </c>
      <c r="G5" s="16">
        <v>0.5</v>
      </c>
      <c r="H5" s="15">
        <f t="shared" si="0"/>
        <v>6.75</v>
      </c>
      <c r="I5" s="96">
        <v>750</v>
      </c>
      <c r="J5" s="22">
        <v>26.25</v>
      </c>
      <c r="K5" s="74">
        <f t="shared" ref="K5:K24" si="1">H5*J5</f>
        <v>177.1875</v>
      </c>
    </row>
    <row r="6" spans="1:11" x14ac:dyDescent="0.2">
      <c r="A6" s="73">
        <v>2230400727</v>
      </c>
      <c r="B6" s="15" t="s">
        <v>17</v>
      </c>
      <c r="C6" s="16">
        <v>0</v>
      </c>
      <c r="D6" s="196">
        <v>0</v>
      </c>
      <c r="E6" s="196">
        <v>2</v>
      </c>
      <c r="F6" s="16">
        <v>2.5</v>
      </c>
      <c r="G6" s="16">
        <v>1</v>
      </c>
      <c r="H6" s="15">
        <f t="shared" si="0"/>
        <v>5.5</v>
      </c>
      <c r="I6" s="26" t="s">
        <v>14</v>
      </c>
      <c r="J6" s="22">
        <v>41.62</v>
      </c>
      <c r="K6" s="74">
        <f t="shared" si="1"/>
        <v>228.91</v>
      </c>
    </row>
    <row r="7" spans="1:11" x14ac:dyDescent="0.2">
      <c r="A7" s="73">
        <v>2230400030</v>
      </c>
      <c r="B7" s="15" t="s">
        <v>18</v>
      </c>
      <c r="C7" s="16">
        <v>0.5</v>
      </c>
      <c r="D7" s="196">
        <v>1</v>
      </c>
      <c r="E7" s="196">
        <v>2</v>
      </c>
      <c r="F7" s="16">
        <v>1</v>
      </c>
      <c r="G7" s="16">
        <v>2</v>
      </c>
      <c r="H7" s="15">
        <f t="shared" si="0"/>
        <v>6.5</v>
      </c>
      <c r="I7" s="26" t="s">
        <v>14</v>
      </c>
      <c r="J7" s="18">
        <v>29.47</v>
      </c>
      <c r="K7" s="74">
        <f t="shared" si="1"/>
        <v>191.55500000000001</v>
      </c>
    </row>
    <row r="8" spans="1:11" x14ac:dyDescent="0.2">
      <c r="A8" s="73">
        <v>2230400018</v>
      </c>
      <c r="B8" s="15" t="s">
        <v>20</v>
      </c>
      <c r="C8" s="16">
        <v>1.5</v>
      </c>
      <c r="D8" s="196">
        <v>1</v>
      </c>
      <c r="E8" s="196">
        <v>2</v>
      </c>
      <c r="F8" s="16">
        <v>1.5</v>
      </c>
      <c r="G8" s="16">
        <v>1</v>
      </c>
      <c r="H8" s="15">
        <f t="shared" ref="H8:H22" si="2">SUM(C8:G8)</f>
        <v>7</v>
      </c>
      <c r="I8" s="26" t="s">
        <v>14</v>
      </c>
      <c r="J8" s="18">
        <v>28.75</v>
      </c>
      <c r="K8" s="74">
        <f t="shared" ref="K8:K22" si="3">H8*J8</f>
        <v>201.25</v>
      </c>
    </row>
    <row r="9" spans="1:11" ht="16" x14ac:dyDescent="0.2">
      <c r="A9" s="73">
        <v>2230400452</v>
      </c>
      <c r="B9" s="19" t="s">
        <v>21</v>
      </c>
      <c r="C9" s="16">
        <v>1.5</v>
      </c>
      <c r="D9" s="196">
        <v>1</v>
      </c>
      <c r="E9" s="196">
        <v>2</v>
      </c>
      <c r="F9" s="16">
        <v>0.5</v>
      </c>
      <c r="G9" s="16">
        <v>1</v>
      </c>
      <c r="H9" s="15">
        <f t="shared" si="2"/>
        <v>6</v>
      </c>
      <c r="I9" s="26" t="s">
        <v>14</v>
      </c>
      <c r="J9" s="18">
        <v>8</v>
      </c>
      <c r="K9" s="74">
        <f t="shared" si="3"/>
        <v>48</v>
      </c>
    </row>
    <row r="10" spans="1:11" x14ac:dyDescent="0.2">
      <c r="A10" s="73">
        <v>2230400026</v>
      </c>
      <c r="B10" s="15" t="s">
        <v>22</v>
      </c>
      <c r="C10" s="16">
        <v>0</v>
      </c>
      <c r="D10" s="196">
        <v>1</v>
      </c>
      <c r="E10" s="196">
        <v>6</v>
      </c>
      <c r="F10" s="16">
        <v>0</v>
      </c>
      <c r="G10" s="16">
        <v>0</v>
      </c>
      <c r="H10" s="15">
        <f t="shared" si="2"/>
        <v>7</v>
      </c>
      <c r="I10" s="26" t="s">
        <v>14</v>
      </c>
      <c r="J10" s="18">
        <v>7.87</v>
      </c>
      <c r="K10" s="74">
        <f t="shared" si="3"/>
        <v>55.09</v>
      </c>
    </row>
    <row r="11" spans="1:11" x14ac:dyDescent="0.2">
      <c r="A11" s="73">
        <v>2230400452</v>
      </c>
      <c r="B11" s="15" t="s">
        <v>23</v>
      </c>
      <c r="C11" s="16">
        <v>1.5</v>
      </c>
      <c r="D11" s="196">
        <v>1</v>
      </c>
      <c r="E11" s="196">
        <v>1</v>
      </c>
      <c r="F11" s="16">
        <v>1</v>
      </c>
      <c r="G11" s="16">
        <v>1</v>
      </c>
      <c r="H11" s="15">
        <f t="shared" si="2"/>
        <v>5.5</v>
      </c>
      <c r="I11" s="96">
        <v>750</v>
      </c>
      <c r="J11" s="22">
        <v>7.88</v>
      </c>
      <c r="K11" s="74">
        <f t="shared" si="3"/>
        <v>43.339999999999996</v>
      </c>
    </row>
    <row r="12" spans="1:11" ht="16" x14ac:dyDescent="0.2">
      <c r="A12" s="73">
        <v>2230500001</v>
      </c>
      <c r="B12" s="19" t="s">
        <v>24</v>
      </c>
      <c r="C12" s="16">
        <v>0</v>
      </c>
      <c r="D12" s="196">
        <v>1</v>
      </c>
      <c r="E12" s="196">
        <v>2</v>
      </c>
      <c r="F12" s="16">
        <v>1</v>
      </c>
      <c r="G12" s="16">
        <v>0.5</v>
      </c>
      <c r="H12" s="15">
        <f t="shared" si="2"/>
        <v>4.5</v>
      </c>
      <c r="I12" s="26" t="s">
        <v>14</v>
      </c>
      <c r="J12" s="18">
        <v>41.18</v>
      </c>
      <c r="K12" s="74">
        <f t="shared" si="3"/>
        <v>185.31</v>
      </c>
    </row>
    <row r="13" spans="1:11" x14ac:dyDescent="0.2">
      <c r="A13" s="73">
        <v>2230500004</v>
      </c>
      <c r="B13" s="15" t="s">
        <v>25</v>
      </c>
      <c r="C13" s="16">
        <v>0.5</v>
      </c>
      <c r="D13" s="196">
        <v>0</v>
      </c>
      <c r="E13" s="196">
        <v>1</v>
      </c>
      <c r="F13" s="16">
        <v>1</v>
      </c>
      <c r="G13" s="16">
        <v>0.5</v>
      </c>
      <c r="H13" s="15">
        <f t="shared" si="2"/>
        <v>3</v>
      </c>
      <c r="I13" s="26" t="s">
        <v>14</v>
      </c>
      <c r="J13" s="18">
        <v>55.5</v>
      </c>
      <c r="K13" s="74">
        <f t="shared" si="3"/>
        <v>166.5</v>
      </c>
    </row>
    <row r="14" spans="1:11" x14ac:dyDescent="0.2">
      <c r="A14" s="73">
        <v>2230650036</v>
      </c>
      <c r="B14" s="15" t="s">
        <v>26</v>
      </c>
      <c r="C14" s="16">
        <v>0</v>
      </c>
      <c r="D14" s="196">
        <v>0</v>
      </c>
      <c r="E14" s="196">
        <v>8.5</v>
      </c>
      <c r="F14" s="16">
        <v>0</v>
      </c>
      <c r="G14" s="16">
        <v>0</v>
      </c>
      <c r="H14" s="15">
        <f t="shared" si="2"/>
        <v>8.5</v>
      </c>
      <c r="I14" s="26" t="s">
        <v>14</v>
      </c>
      <c r="J14" s="18">
        <v>24</v>
      </c>
      <c r="K14" s="74">
        <f t="shared" si="3"/>
        <v>204</v>
      </c>
    </row>
    <row r="15" spans="1:11" x14ac:dyDescent="0.2">
      <c r="A15" s="105">
        <v>2230650044</v>
      </c>
      <c r="B15" s="21" t="s">
        <v>27</v>
      </c>
      <c r="C15" s="16">
        <v>2</v>
      </c>
      <c r="D15" s="196">
        <v>0</v>
      </c>
      <c r="E15" s="196">
        <v>0</v>
      </c>
      <c r="F15" s="16">
        <v>2.5</v>
      </c>
      <c r="G15" s="16">
        <v>1</v>
      </c>
      <c r="H15" s="15">
        <f t="shared" si="2"/>
        <v>5.5</v>
      </c>
      <c r="I15" s="97" t="s">
        <v>14</v>
      </c>
      <c r="J15" s="22">
        <v>25.13</v>
      </c>
      <c r="K15" s="106">
        <f t="shared" si="3"/>
        <v>138.215</v>
      </c>
    </row>
    <row r="16" spans="1:11" ht="16" x14ac:dyDescent="0.2">
      <c r="A16" s="73">
        <v>2240200016</v>
      </c>
      <c r="B16" s="19" t="s">
        <v>28</v>
      </c>
      <c r="C16" s="16">
        <v>2.5</v>
      </c>
      <c r="D16" s="196">
        <v>3</v>
      </c>
      <c r="E16" s="196">
        <v>8</v>
      </c>
      <c r="F16" s="16">
        <v>2</v>
      </c>
      <c r="G16" s="16">
        <v>2.5</v>
      </c>
      <c r="H16" s="15">
        <f t="shared" si="2"/>
        <v>18</v>
      </c>
      <c r="I16" s="26" t="s">
        <v>29</v>
      </c>
      <c r="J16" s="18">
        <v>6.3</v>
      </c>
      <c r="K16" s="74">
        <f t="shared" si="3"/>
        <v>113.39999999999999</v>
      </c>
    </row>
    <row r="17" spans="1:11" ht="16" x14ac:dyDescent="0.2">
      <c r="A17" s="73">
        <v>2240200017</v>
      </c>
      <c r="B17" s="19" t="s">
        <v>30</v>
      </c>
      <c r="C17" s="16">
        <v>2.5</v>
      </c>
      <c r="D17" s="196">
        <v>2.5</v>
      </c>
      <c r="E17" s="196">
        <v>10</v>
      </c>
      <c r="F17" s="16">
        <v>1.5</v>
      </c>
      <c r="G17" s="16">
        <v>2.5</v>
      </c>
      <c r="H17" s="15">
        <f t="shared" si="2"/>
        <v>19</v>
      </c>
      <c r="I17" s="26" t="s">
        <v>29</v>
      </c>
      <c r="J17" s="18">
        <v>6.3</v>
      </c>
      <c r="K17" s="74">
        <f t="shared" si="3"/>
        <v>119.7</v>
      </c>
    </row>
    <row r="18" spans="1:11" x14ac:dyDescent="0.2">
      <c r="A18" s="104">
        <v>2230250010</v>
      </c>
      <c r="B18" s="9" t="s">
        <v>31</v>
      </c>
      <c r="C18" s="16">
        <v>1</v>
      </c>
      <c r="D18" s="196">
        <v>1</v>
      </c>
      <c r="E18" s="196">
        <v>3</v>
      </c>
      <c r="F18" s="16">
        <v>1</v>
      </c>
      <c r="G18" s="16">
        <v>0.5</v>
      </c>
      <c r="H18" s="15">
        <f t="shared" si="2"/>
        <v>6.5</v>
      </c>
      <c r="I18" s="40" t="s">
        <v>14</v>
      </c>
      <c r="J18" s="23">
        <v>48.74</v>
      </c>
      <c r="K18" s="75">
        <f t="shared" si="3"/>
        <v>316.81</v>
      </c>
    </row>
    <row r="19" spans="1:11" x14ac:dyDescent="0.2">
      <c r="A19" s="73">
        <v>2230250007</v>
      </c>
      <c r="B19" s="15" t="s">
        <v>32</v>
      </c>
      <c r="C19" s="16">
        <v>1.5</v>
      </c>
      <c r="D19" s="196">
        <v>1</v>
      </c>
      <c r="E19" s="196">
        <v>12</v>
      </c>
      <c r="F19" s="16">
        <v>1</v>
      </c>
      <c r="G19" s="16">
        <v>1</v>
      </c>
      <c r="H19" s="15">
        <f t="shared" si="2"/>
        <v>16.5</v>
      </c>
      <c r="I19" s="96">
        <v>750</v>
      </c>
      <c r="J19" s="22">
        <v>32</v>
      </c>
      <c r="K19" s="75">
        <f t="shared" si="3"/>
        <v>528</v>
      </c>
    </row>
    <row r="20" spans="1:11" x14ac:dyDescent="0.2">
      <c r="A20" s="73">
        <v>2230400099</v>
      </c>
      <c r="B20" s="15" t="s">
        <v>35</v>
      </c>
      <c r="C20" s="16">
        <v>1.5</v>
      </c>
      <c r="D20" s="196">
        <v>1</v>
      </c>
      <c r="E20" s="196">
        <v>2</v>
      </c>
      <c r="F20" s="16">
        <v>1.5</v>
      </c>
      <c r="G20" s="16">
        <v>1</v>
      </c>
      <c r="H20" s="15">
        <f t="shared" si="2"/>
        <v>7</v>
      </c>
      <c r="I20" s="97" t="s">
        <v>14</v>
      </c>
      <c r="J20" s="22">
        <v>37.130000000000003</v>
      </c>
      <c r="K20" s="75">
        <f t="shared" si="3"/>
        <v>259.91000000000003</v>
      </c>
    </row>
    <row r="21" spans="1:11" x14ac:dyDescent="0.2">
      <c r="A21" s="73">
        <v>2230600026</v>
      </c>
      <c r="B21" s="15" t="s">
        <v>36</v>
      </c>
      <c r="C21" s="16">
        <v>0</v>
      </c>
      <c r="D21" s="196">
        <v>1</v>
      </c>
      <c r="E21" s="196">
        <v>1</v>
      </c>
      <c r="F21" s="16">
        <v>0.5</v>
      </c>
      <c r="G21" s="16">
        <v>0.5</v>
      </c>
      <c r="H21" s="15">
        <f t="shared" si="2"/>
        <v>3</v>
      </c>
      <c r="I21" s="97" t="s">
        <v>14</v>
      </c>
      <c r="J21" s="18">
        <v>11.75</v>
      </c>
      <c r="K21" s="75">
        <f t="shared" si="3"/>
        <v>35.25</v>
      </c>
    </row>
    <row r="22" spans="1:11" x14ac:dyDescent="0.2">
      <c r="A22" s="73">
        <v>2230600031</v>
      </c>
      <c r="B22" s="15" t="s">
        <v>37</v>
      </c>
      <c r="C22" s="16">
        <v>0.5</v>
      </c>
      <c r="D22" s="196">
        <v>1</v>
      </c>
      <c r="E22" s="196">
        <v>1</v>
      </c>
      <c r="F22" s="16">
        <v>0</v>
      </c>
      <c r="G22" s="16">
        <v>0.5</v>
      </c>
      <c r="H22" s="15">
        <f t="shared" si="2"/>
        <v>3</v>
      </c>
      <c r="I22" s="97" t="s">
        <v>14</v>
      </c>
      <c r="J22" s="18">
        <v>11.75</v>
      </c>
      <c r="K22" s="75">
        <f t="shared" si="3"/>
        <v>35.25</v>
      </c>
    </row>
    <row r="23" spans="1:11" x14ac:dyDescent="0.2">
      <c r="A23" s="73">
        <v>2230400099</v>
      </c>
      <c r="B23" s="15" t="s">
        <v>35</v>
      </c>
      <c r="C23" s="16">
        <v>0</v>
      </c>
      <c r="D23" s="196">
        <v>0</v>
      </c>
      <c r="E23" s="196">
        <v>2</v>
      </c>
      <c r="F23" s="16">
        <v>0</v>
      </c>
      <c r="G23" s="16">
        <v>0</v>
      </c>
      <c r="H23" s="15">
        <f t="shared" si="0"/>
        <v>2</v>
      </c>
      <c r="I23" s="97" t="s">
        <v>14</v>
      </c>
      <c r="J23" s="22">
        <v>37.130000000000003</v>
      </c>
      <c r="K23" s="75">
        <f t="shared" si="1"/>
        <v>74.260000000000005</v>
      </c>
    </row>
    <row r="24" spans="1:11" x14ac:dyDescent="0.2">
      <c r="A24" s="73">
        <v>2230600026</v>
      </c>
      <c r="B24" s="15" t="s">
        <v>36</v>
      </c>
      <c r="C24" s="16">
        <v>0</v>
      </c>
      <c r="D24" s="196">
        <v>0</v>
      </c>
      <c r="E24" s="196">
        <v>1</v>
      </c>
      <c r="F24" s="16">
        <v>0</v>
      </c>
      <c r="G24" s="16">
        <v>0</v>
      </c>
      <c r="H24" s="15">
        <f t="shared" si="0"/>
        <v>1</v>
      </c>
      <c r="I24" s="97" t="s">
        <v>14</v>
      </c>
      <c r="J24" s="18">
        <v>11.75</v>
      </c>
      <c r="K24" s="75">
        <f t="shared" si="1"/>
        <v>11.75</v>
      </c>
    </row>
    <row r="25" spans="1:11" x14ac:dyDescent="0.2">
      <c r="A25" s="73">
        <v>2230400559</v>
      </c>
      <c r="B25" s="15" t="s">
        <v>39</v>
      </c>
      <c r="C25" s="16">
        <v>1.5</v>
      </c>
      <c r="D25" s="196">
        <v>1</v>
      </c>
      <c r="E25" s="196">
        <v>0</v>
      </c>
      <c r="F25" s="16">
        <v>1.5</v>
      </c>
      <c r="G25" s="16">
        <v>1</v>
      </c>
      <c r="H25" s="15">
        <f t="shared" ref="H25:H37" si="4">SUM(C25:G25)</f>
        <v>5</v>
      </c>
      <c r="I25" s="96">
        <v>750</v>
      </c>
      <c r="J25" s="22">
        <v>20.48</v>
      </c>
      <c r="K25" s="75">
        <f t="shared" ref="K25:K37" si="5">H25*J25</f>
        <v>102.4</v>
      </c>
    </row>
    <row r="26" spans="1:11" x14ac:dyDescent="0.2">
      <c r="A26" s="73">
        <v>2230400097</v>
      </c>
      <c r="B26" s="15" t="s">
        <v>40</v>
      </c>
      <c r="C26" s="16">
        <v>0.5</v>
      </c>
      <c r="D26" s="196">
        <v>0</v>
      </c>
      <c r="E26" s="196">
        <v>3</v>
      </c>
      <c r="F26" s="16">
        <v>0.5</v>
      </c>
      <c r="G26" s="16">
        <v>1.5</v>
      </c>
      <c r="H26" s="15">
        <f t="shared" si="4"/>
        <v>5.5</v>
      </c>
      <c r="I26" s="26" t="s">
        <v>14</v>
      </c>
      <c r="J26" s="22">
        <v>11.5</v>
      </c>
      <c r="K26" s="75">
        <f t="shared" si="5"/>
        <v>63.25</v>
      </c>
    </row>
    <row r="27" spans="1:11" ht="16" x14ac:dyDescent="0.2">
      <c r="A27" s="105">
        <v>2240100006</v>
      </c>
      <c r="B27" s="257" t="s">
        <v>41</v>
      </c>
      <c r="C27" s="16">
        <v>2</v>
      </c>
      <c r="D27" s="196">
        <v>1</v>
      </c>
      <c r="E27" s="288">
        <v>10</v>
      </c>
      <c r="F27" s="16">
        <v>2.5</v>
      </c>
      <c r="G27" s="16">
        <v>0.5</v>
      </c>
      <c r="H27" s="15">
        <f t="shared" si="4"/>
        <v>16</v>
      </c>
      <c r="I27" s="97" t="s">
        <v>29</v>
      </c>
      <c r="J27" s="22">
        <v>6.3</v>
      </c>
      <c r="K27" s="131">
        <f t="shared" si="5"/>
        <v>100.8</v>
      </c>
    </row>
    <row r="28" spans="1:11" ht="16" x14ac:dyDescent="0.2">
      <c r="A28" s="105">
        <v>2240200018</v>
      </c>
      <c r="B28" s="257" t="s">
        <v>43</v>
      </c>
      <c r="C28" s="16">
        <v>2.5</v>
      </c>
      <c r="D28" s="196">
        <v>2.5</v>
      </c>
      <c r="E28" s="288">
        <v>6</v>
      </c>
      <c r="F28" s="16">
        <v>3.5</v>
      </c>
      <c r="G28" s="16">
        <v>1.5</v>
      </c>
      <c r="H28" s="15">
        <f t="shared" si="4"/>
        <v>16</v>
      </c>
      <c r="I28" s="97" t="s">
        <v>29</v>
      </c>
      <c r="J28" s="22">
        <v>7</v>
      </c>
      <c r="K28" s="131">
        <f t="shared" si="5"/>
        <v>112</v>
      </c>
    </row>
    <row r="29" spans="1:11" x14ac:dyDescent="0.2">
      <c r="A29" s="105">
        <v>2240100004</v>
      </c>
      <c r="B29" s="235" t="s">
        <v>44</v>
      </c>
      <c r="C29" s="16">
        <v>2</v>
      </c>
      <c r="D29" s="196">
        <v>1</v>
      </c>
      <c r="E29" s="288">
        <v>11</v>
      </c>
      <c r="F29" s="16">
        <v>3.5</v>
      </c>
      <c r="G29" s="16">
        <v>1.5</v>
      </c>
      <c r="H29" s="15">
        <f t="shared" si="4"/>
        <v>19</v>
      </c>
      <c r="I29" s="97" t="s">
        <v>29</v>
      </c>
      <c r="J29" s="22">
        <v>6.99</v>
      </c>
      <c r="K29" s="131">
        <f t="shared" si="5"/>
        <v>132.81</v>
      </c>
    </row>
    <row r="30" spans="1:11" x14ac:dyDescent="0.2">
      <c r="A30" s="105">
        <v>2240300043</v>
      </c>
      <c r="B30" s="235" t="s">
        <v>45</v>
      </c>
      <c r="C30" s="16">
        <v>1</v>
      </c>
      <c r="D30" s="196">
        <v>0</v>
      </c>
      <c r="E30" s="288">
        <v>17</v>
      </c>
      <c r="F30" s="16">
        <v>4.5</v>
      </c>
      <c r="G30" s="16">
        <v>2</v>
      </c>
      <c r="H30" s="15">
        <f t="shared" si="4"/>
        <v>24.5</v>
      </c>
      <c r="I30" s="98">
        <v>750</v>
      </c>
      <c r="J30" s="22">
        <v>7</v>
      </c>
      <c r="K30" s="163">
        <f t="shared" si="5"/>
        <v>171.5</v>
      </c>
    </row>
    <row r="31" spans="1:11" ht="16" x14ac:dyDescent="0.2">
      <c r="A31" s="105">
        <v>2240050011</v>
      </c>
      <c r="B31" s="257" t="s">
        <v>46</v>
      </c>
      <c r="C31" s="16">
        <v>1</v>
      </c>
      <c r="D31" s="196">
        <v>1.5</v>
      </c>
      <c r="E31" s="288">
        <v>1</v>
      </c>
      <c r="F31" s="16">
        <v>1</v>
      </c>
      <c r="G31" s="16">
        <v>1.5</v>
      </c>
      <c r="H31" s="15">
        <f t="shared" si="4"/>
        <v>6</v>
      </c>
      <c r="I31" s="98">
        <v>750</v>
      </c>
      <c r="J31" s="22">
        <v>4.1500000000000004</v>
      </c>
      <c r="K31" s="131">
        <f t="shared" si="5"/>
        <v>24.900000000000002</v>
      </c>
    </row>
    <row r="32" spans="1:11" x14ac:dyDescent="0.2">
      <c r="A32" s="73">
        <v>2230400093</v>
      </c>
      <c r="B32" s="27" t="s">
        <v>47</v>
      </c>
      <c r="C32" s="16">
        <v>1</v>
      </c>
      <c r="D32" s="196">
        <v>0</v>
      </c>
      <c r="E32" s="196">
        <v>7</v>
      </c>
      <c r="F32" s="16">
        <v>1.5</v>
      </c>
      <c r="G32" s="16">
        <v>1.5</v>
      </c>
      <c r="H32" s="15">
        <f t="shared" si="4"/>
        <v>11</v>
      </c>
      <c r="I32" s="26" t="s">
        <v>14</v>
      </c>
      <c r="J32" s="18">
        <v>27.82</v>
      </c>
      <c r="K32" s="74">
        <f t="shared" si="5"/>
        <v>306.02</v>
      </c>
    </row>
    <row r="33" spans="1:11" x14ac:dyDescent="0.2">
      <c r="A33" s="73">
        <v>2230200007</v>
      </c>
      <c r="B33" s="15" t="s">
        <v>48</v>
      </c>
      <c r="C33" s="16">
        <v>1</v>
      </c>
      <c r="D33" s="196">
        <v>0</v>
      </c>
      <c r="E33" s="196">
        <v>2</v>
      </c>
      <c r="F33" s="16">
        <v>1</v>
      </c>
      <c r="G33" s="16">
        <v>0.5</v>
      </c>
      <c r="H33" s="15">
        <f t="shared" si="4"/>
        <v>4.5</v>
      </c>
      <c r="I33" s="26" t="s">
        <v>14</v>
      </c>
      <c r="J33" s="18">
        <v>10.5</v>
      </c>
      <c r="K33" s="74">
        <f t="shared" si="5"/>
        <v>47.25</v>
      </c>
    </row>
    <row r="34" spans="1:11" x14ac:dyDescent="0.2">
      <c r="A34" s="73">
        <v>2230400057</v>
      </c>
      <c r="B34" s="27" t="s">
        <v>49</v>
      </c>
      <c r="C34" s="53">
        <v>2</v>
      </c>
      <c r="D34" s="275">
        <v>2</v>
      </c>
      <c r="E34" s="275">
        <v>6</v>
      </c>
      <c r="F34" s="53">
        <v>1</v>
      </c>
      <c r="G34" s="53">
        <v>2</v>
      </c>
      <c r="H34" s="187">
        <f t="shared" si="4"/>
        <v>13</v>
      </c>
      <c r="I34" s="26" t="s">
        <v>14</v>
      </c>
      <c r="J34" s="22">
        <v>24.07</v>
      </c>
      <c r="K34" s="74">
        <f t="shared" si="5"/>
        <v>312.91000000000003</v>
      </c>
    </row>
    <row r="35" spans="1:11" ht="16" x14ac:dyDescent="0.2">
      <c r="A35" s="73">
        <v>2230700431</v>
      </c>
      <c r="B35" s="28" t="s">
        <v>50</v>
      </c>
      <c r="C35" s="16">
        <v>1</v>
      </c>
      <c r="D35" s="196">
        <v>1</v>
      </c>
      <c r="E35" s="196">
        <v>1</v>
      </c>
      <c r="F35" s="16">
        <v>1</v>
      </c>
      <c r="G35" s="16">
        <v>1</v>
      </c>
      <c r="H35" s="15">
        <f t="shared" si="4"/>
        <v>5</v>
      </c>
      <c r="I35" s="26" t="s">
        <v>14</v>
      </c>
      <c r="J35" s="18">
        <v>14.13</v>
      </c>
      <c r="K35" s="74">
        <f t="shared" si="5"/>
        <v>70.650000000000006</v>
      </c>
    </row>
    <row r="36" spans="1:11" ht="16" x14ac:dyDescent="0.2">
      <c r="A36" s="129">
        <v>2230400059</v>
      </c>
      <c r="B36" s="24" t="s">
        <v>51</v>
      </c>
      <c r="C36" s="185">
        <v>0</v>
      </c>
      <c r="D36" s="276">
        <v>0</v>
      </c>
      <c r="E36" s="276">
        <v>0</v>
      </c>
      <c r="F36" s="185">
        <v>0.5</v>
      </c>
      <c r="G36" s="186">
        <v>0</v>
      </c>
      <c r="H36" s="185">
        <f t="shared" si="4"/>
        <v>0.5</v>
      </c>
      <c r="I36" s="99" t="s">
        <v>14</v>
      </c>
      <c r="J36" s="20">
        <v>8</v>
      </c>
      <c r="K36" s="130">
        <f t="shared" si="5"/>
        <v>4</v>
      </c>
    </row>
    <row r="37" spans="1:11" x14ac:dyDescent="0.2">
      <c r="A37" s="165">
        <v>2230400762</v>
      </c>
      <c r="B37" s="166" t="s">
        <v>52</v>
      </c>
      <c r="C37" s="16">
        <v>0</v>
      </c>
      <c r="D37" s="196">
        <v>0</v>
      </c>
      <c r="E37" s="196">
        <v>0</v>
      </c>
      <c r="F37" s="16">
        <v>1.5</v>
      </c>
      <c r="G37" s="17">
        <v>2</v>
      </c>
      <c r="H37" s="15">
        <f t="shared" si="4"/>
        <v>3.5</v>
      </c>
      <c r="I37" s="256">
        <v>750</v>
      </c>
      <c r="J37" s="23">
        <v>8.6300000000000008</v>
      </c>
      <c r="K37" s="131">
        <f t="shared" si="5"/>
        <v>30.205000000000002</v>
      </c>
    </row>
    <row r="38" spans="1:11" ht="16" x14ac:dyDescent="0.2">
      <c r="A38" s="188" t="s">
        <v>55</v>
      </c>
      <c r="B38" s="29" t="s">
        <v>56</v>
      </c>
      <c r="C38" s="10">
        <v>0</v>
      </c>
      <c r="D38" s="277">
        <v>1</v>
      </c>
      <c r="E38" s="277">
        <v>0</v>
      </c>
      <c r="F38" s="10">
        <v>0.5</v>
      </c>
      <c r="G38" s="11">
        <v>0</v>
      </c>
      <c r="H38" s="9">
        <f>SUM(C38:G38)</f>
        <v>1.5</v>
      </c>
      <c r="I38" s="40" t="s">
        <v>14</v>
      </c>
      <c r="J38" s="14">
        <v>3.75</v>
      </c>
      <c r="K38" s="75">
        <f>H38*J38</f>
        <v>5.625</v>
      </c>
    </row>
    <row r="39" spans="1:11" ht="16" x14ac:dyDescent="0.2">
      <c r="A39" s="73">
        <v>2230400019</v>
      </c>
      <c r="B39" s="28" t="s">
        <v>57</v>
      </c>
      <c r="C39" s="16">
        <v>1.5</v>
      </c>
      <c r="D39" s="196">
        <v>0</v>
      </c>
      <c r="E39" s="196">
        <v>0</v>
      </c>
      <c r="F39" s="16">
        <v>1.5</v>
      </c>
      <c r="G39" s="17">
        <v>0.5</v>
      </c>
      <c r="H39" s="15">
        <f t="shared" ref="H39:H60" si="6">SUM(C39:G39)</f>
        <v>3.5</v>
      </c>
      <c r="I39" s="26" t="s">
        <v>14</v>
      </c>
      <c r="J39" s="18">
        <v>21.83</v>
      </c>
      <c r="K39" s="74">
        <f>H39*J39</f>
        <v>76.405000000000001</v>
      </c>
    </row>
    <row r="40" spans="1:11" ht="16" x14ac:dyDescent="0.2">
      <c r="A40" s="73">
        <v>2230400024</v>
      </c>
      <c r="B40" s="28" t="s">
        <v>58</v>
      </c>
      <c r="C40" s="16">
        <v>0.5</v>
      </c>
      <c r="D40" s="196">
        <v>1</v>
      </c>
      <c r="E40" s="196">
        <v>1</v>
      </c>
      <c r="F40" s="16">
        <v>0.5</v>
      </c>
      <c r="G40" s="17">
        <v>1</v>
      </c>
      <c r="H40" s="15">
        <f t="shared" si="6"/>
        <v>4</v>
      </c>
      <c r="I40" s="26" t="s">
        <v>14</v>
      </c>
      <c r="J40" s="18">
        <v>8</v>
      </c>
      <c r="K40" s="74">
        <f>H40*J40</f>
        <v>32</v>
      </c>
    </row>
    <row r="41" spans="1:11" ht="17.25" customHeight="1" x14ac:dyDescent="0.2">
      <c r="A41" s="73">
        <v>2230400098</v>
      </c>
      <c r="B41" s="28" t="s">
        <v>152</v>
      </c>
      <c r="C41" s="16">
        <v>1</v>
      </c>
      <c r="D41" s="196">
        <v>1</v>
      </c>
      <c r="E41" s="196">
        <v>1</v>
      </c>
      <c r="F41" s="16">
        <v>0.5</v>
      </c>
      <c r="G41" s="17">
        <v>0</v>
      </c>
      <c r="H41" s="15">
        <f t="shared" si="6"/>
        <v>3.5</v>
      </c>
      <c r="I41" s="26" t="s">
        <v>14</v>
      </c>
      <c r="J41" s="18">
        <v>9</v>
      </c>
      <c r="K41" s="75">
        <f>H41*J41</f>
        <v>31.5</v>
      </c>
    </row>
    <row r="42" spans="1:11" ht="13.5" customHeight="1" x14ac:dyDescent="0.2">
      <c r="A42" s="73">
        <v>2230550008</v>
      </c>
      <c r="B42" s="19" t="s">
        <v>61</v>
      </c>
      <c r="C42" s="16">
        <v>1.5</v>
      </c>
      <c r="D42" s="196">
        <v>1</v>
      </c>
      <c r="E42" s="196">
        <v>2</v>
      </c>
      <c r="F42" s="16">
        <v>0.5</v>
      </c>
      <c r="G42" s="17">
        <v>0.5</v>
      </c>
      <c r="H42" s="15">
        <f t="shared" si="6"/>
        <v>5.5</v>
      </c>
      <c r="I42" s="26" t="s">
        <v>14</v>
      </c>
      <c r="J42" s="18">
        <v>19.5</v>
      </c>
      <c r="K42" s="74">
        <f t="shared" ref="K42:K60" si="7">H42*J42</f>
        <v>107.25</v>
      </c>
    </row>
    <row r="43" spans="1:11" ht="16" x14ac:dyDescent="0.2">
      <c r="A43" s="73">
        <v>2230550016</v>
      </c>
      <c r="B43" s="19" t="s">
        <v>62</v>
      </c>
      <c r="C43" s="16">
        <v>1</v>
      </c>
      <c r="D43" s="196">
        <v>0.5</v>
      </c>
      <c r="E43" s="196">
        <v>3</v>
      </c>
      <c r="F43" s="16">
        <v>2</v>
      </c>
      <c r="G43" s="17">
        <v>1.5</v>
      </c>
      <c r="H43" s="15">
        <f t="shared" si="6"/>
        <v>8</v>
      </c>
      <c r="I43" s="96">
        <v>750</v>
      </c>
      <c r="J43" s="22">
        <v>40.79</v>
      </c>
      <c r="K43" s="74">
        <f t="shared" si="7"/>
        <v>326.32</v>
      </c>
    </row>
    <row r="44" spans="1:11" ht="16" x14ac:dyDescent="0.2">
      <c r="A44" s="73">
        <v>2230650122</v>
      </c>
      <c r="B44" s="19" t="s">
        <v>63</v>
      </c>
      <c r="C44" s="16">
        <v>2</v>
      </c>
      <c r="D44" s="196">
        <v>1</v>
      </c>
      <c r="E44" s="196">
        <v>2</v>
      </c>
      <c r="F44" s="16">
        <v>2.5</v>
      </c>
      <c r="G44" s="17">
        <v>1</v>
      </c>
      <c r="H44" s="15">
        <f t="shared" si="6"/>
        <v>8.5</v>
      </c>
      <c r="I44" s="97" t="s">
        <v>14</v>
      </c>
      <c r="J44" s="18">
        <v>31.76</v>
      </c>
      <c r="K44" s="74">
        <f t="shared" si="7"/>
        <v>269.96000000000004</v>
      </c>
    </row>
    <row r="45" spans="1:11" ht="16" x14ac:dyDescent="0.2">
      <c r="A45" s="73">
        <v>2230650203</v>
      </c>
      <c r="B45" s="19" t="s">
        <v>64</v>
      </c>
      <c r="C45" s="16">
        <v>2</v>
      </c>
      <c r="D45" s="196">
        <v>1</v>
      </c>
      <c r="E45" s="196">
        <v>6</v>
      </c>
      <c r="F45" s="16">
        <v>2.5</v>
      </c>
      <c r="G45" s="17">
        <v>2</v>
      </c>
      <c r="H45" s="15">
        <f t="shared" si="6"/>
        <v>13.5</v>
      </c>
      <c r="I45" s="97" t="s">
        <v>14</v>
      </c>
      <c r="J45" s="18">
        <v>14</v>
      </c>
      <c r="K45" s="74">
        <f t="shared" si="7"/>
        <v>189</v>
      </c>
    </row>
    <row r="46" spans="1:11" ht="16" x14ac:dyDescent="0.2">
      <c r="A46" s="73">
        <v>2230650420</v>
      </c>
      <c r="B46" s="19" t="s">
        <v>65</v>
      </c>
      <c r="C46" s="16">
        <v>3</v>
      </c>
      <c r="D46" s="196">
        <v>1</v>
      </c>
      <c r="E46" s="196">
        <v>3</v>
      </c>
      <c r="F46" s="16">
        <v>1.5</v>
      </c>
      <c r="G46" s="17">
        <v>1.5</v>
      </c>
      <c r="H46" s="15">
        <f t="shared" si="6"/>
        <v>10</v>
      </c>
      <c r="I46" s="97" t="s">
        <v>14</v>
      </c>
      <c r="J46" s="18">
        <v>14</v>
      </c>
      <c r="K46" s="74">
        <f t="shared" si="7"/>
        <v>140</v>
      </c>
    </row>
    <row r="47" spans="1:11" ht="16" x14ac:dyDescent="0.2">
      <c r="A47" s="73">
        <v>2230650628</v>
      </c>
      <c r="B47" s="19" t="s">
        <v>66</v>
      </c>
      <c r="C47" s="16">
        <v>2.5</v>
      </c>
      <c r="D47" s="196">
        <v>1</v>
      </c>
      <c r="E47" s="196">
        <v>3</v>
      </c>
      <c r="F47" s="16">
        <v>2</v>
      </c>
      <c r="G47" s="17">
        <v>1.5</v>
      </c>
      <c r="H47" s="15">
        <f t="shared" si="6"/>
        <v>10</v>
      </c>
      <c r="I47" s="97" t="s">
        <v>14</v>
      </c>
      <c r="J47" s="18">
        <v>14</v>
      </c>
      <c r="K47" s="74">
        <f t="shared" si="7"/>
        <v>140</v>
      </c>
    </row>
    <row r="48" spans="1:11" ht="16" x14ac:dyDescent="0.2">
      <c r="A48" s="73">
        <v>2230650629</v>
      </c>
      <c r="B48" s="19" t="s">
        <v>67</v>
      </c>
      <c r="C48" s="16">
        <v>2</v>
      </c>
      <c r="D48" s="196">
        <v>1</v>
      </c>
      <c r="E48" s="196">
        <v>10</v>
      </c>
      <c r="F48" s="16">
        <v>1.5</v>
      </c>
      <c r="G48" s="17">
        <v>1.5</v>
      </c>
      <c r="H48" s="15">
        <f t="shared" si="6"/>
        <v>16</v>
      </c>
      <c r="I48" s="97" t="s">
        <v>14</v>
      </c>
      <c r="J48" s="18">
        <v>14</v>
      </c>
      <c r="K48" s="74">
        <f t="shared" si="7"/>
        <v>224</v>
      </c>
    </row>
    <row r="49" spans="1:25" ht="16" x14ac:dyDescent="0.2">
      <c r="A49" s="73">
        <v>2230650630</v>
      </c>
      <c r="B49" s="19" t="s">
        <v>68</v>
      </c>
      <c r="C49" s="16">
        <v>3</v>
      </c>
      <c r="D49" s="196">
        <v>1</v>
      </c>
      <c r="E49" s="196">
        <v>3</v>
      </c>
      <c r="F49" s="16">
        <v>2.5</v>
      </c>
      <c r="G49" s="17">
        <v>1</v>
      </c>
      <c r="H49" s="15">
        <f t="shared" si="6"/>
        <v>10.5</v>
      </c>
      <c r="I49" s="97" t="s">
        <v>14</v>
      </c>
      <c r="J49" s="18">
        <v>14</v>
      </c>
      <c r="K49" s="74">
        <f t="shared" si="7"/>
        <v>147</v>
      </c>
    </row>
    <row r="50" spans="1:25" ht="16" x14ac:dyDescent="0.2">
      <c r="A50" s="73">
        <v>2230650631</v>
      </c>
      <c r="B50" s="19" t="s">
        <v>69</v>
      </c>
      <c r="C50" s="16">
        <v>4</v>
      </c>
      <c r="D50" s="196">
        <v>1</v>
      </c>
      <c r="E50" s="196">
        <v>6</v>
      </c>
      <c r="F50" s="16">
        <v>1.5</v>
      </c>
      <c r="G50" s="17">
        <v>2</v>
      </c>
      <c r="H50" s="15">
        <f t="shared" si="6"/>
        <v>14.5</v>
      </c>
      <c r="I50" s="97" t="s">
        <v>14</v>
      </c>
      <c r="J50" s="18">
        <v>14</v>
      </c>
      <c r="K50" s="74">
        <f t="shared" si="7"/>
        <v>203</v>
      </c>
    </row>
    <row r="51" spans="1:25" ht="16" x14ac:dyDescent="0.2">
      <c r="A51" s="73">
        <v>2230650566</v>
      </c>
      <c r="B51" s="19" t="s">
        <v>70</v>
      </c>
      <c r="C51" s="16">
        <v>2.5</v>
      </c>
      <c r="D51" s="196">
        <v>1</v>
      </c>
      <c r="E51" s="196">
        <v>9</v>
      </c>
      <c r="F51" s="16">
        <v>3</v>
      </c>
      <c r="G51" s="17">
        <v>1.5</v>
      </c>
      <c r="H51" s="15">
        <f t="shared" si="6"/>
        <v>17</v>
      </c>
      <c r="I51" s="97" t="s">
        <v>14</v>
      </c>
      <c r="J51" s="18">
        <v>14</v>
      </c>
      <c r="K51" s="74">
        <f t="shared" si="7"/>
        <v>238</v>
      </c>
    </row>
    <row r="52" spans="1:25" x14ac:dyDescent="0.2">
      <c r="A52" s="73">
        <v>2230650567</v>
      </c>
      <c r="B52" s="15" t="s">
        <v>71</v>
      </c>
      <c r="C52" s="16">
        <v>1</v>
      </c>
      <c r="D52" s="196">
        <v>0</v>
      </c>
      <c r="E52" s="196">
        <v>4</v>
      </c>
      <c r="F52" s="16">
        <v>1.5</v>
      </c>
      <c r="G52" s="17">
        <v>2</v>
      </c>
      <c r="H52" s="15">
        <f t="shared" si="6"/>
        <v>8.5</v>
      </c>
      <c r="I52" s="97" t="s">
        <v>14</v>
      </c>
      <c r="J52" s="18">
        <v>13.75</v>
      </c>
      <c r="K52" s="74">
        <f t="shared" si="7"/>
        <v>116.875</v>
      </c>
    </row>
    <row r="53" spans="1:25" x14ac:dyDescent="0.2">
      <c r="A53" s="73">
        <v>2230700532</v>
      </c>
      <c r="B53" s="15" t="s">
        <v>72</v>
      </c>
      <c r="C53" s="16">
        <v>0.5</v>
      </c>
      <c r="D53" s="196">
        <v>0.5</v>
      </c>
      <c r="E53" s="196">
        <v>1</v>
      </c>
      <c r="F53" s="16">
        <v>2</v>
      </c>
      <c r="G53" s="17">
        <v>2</v>
      </c>
      <c r="H53" s="15">
        <f t="shared" si="6"/>
        <v>6</v>
      </c>
      <c r="I53" s="98">
        <v>750</v>
      </c>
      <c r="J53" s="22">
        <v>17.739999999999998</v>
      </c>
      <c r="K53" s="74">
        <f t="shared" si="7"/>
        <v>106.44</v>
      </c>
    </row>
    <row r="54" spans="1:25" x14ac:dyDescent="0.2">
      <c r="A54" s="73">
        <v>2230700633</v>
      </c>
      <c r="B54" s="15" t="s">
        <v>73</v>
      </c>
      <c r="C54" s="16">
        <v>2</v>
      </c>
      <c r="D54" s="196">
        <v>1</v>
      </c>
      <c r="E54" s="196">
        <v>3</v>
      </c>
      <c r="F54" s="16">
        <v>2</v>
      </c>
      <c r="G54" s="17">
        <v>1.5</v>
      </c>
      <c r="H54" s="15">
        <f t="shared" si="6"/>
        <v>9.5</v>
      </c>
      <c r="I54" s="26" t="s">
        <v>14</v>
      </c>
      <c r="J54" s="22">
        <v>18</v>
      </c>
      <c r="K54" s="74">
        <f t="shared" si="7"/>
        <v>171</v>
      </c>
    </row>
    <row r="55" spans="1:25" x14ac:dyDescent="0.2">
      <c r="A55" s="104">
        <v>2230700507</v>
      </c>
      <c r="B55" s="9" t="s">
        <v>74</v>
      </c>
      <c r="C55" s="10">
        <v>1</v>
      </c>
      <c r="D55" s="277">
        <v>0.5</v>
      </c>
      <c r="E55" s="277">
        <v>3</v>
      </c>
      <c r="F55" s="10">
        <v>2</v>
      </c>
      <c r="G55" s="11">
        <v>1</v>
      </c>
      <c r="H55" s="12">
        <f t="shared" si="6"/>
        <v>7.5</v>
      </c>
      <c r="I55" s="40" t="s">
        <v>14</v>
      </c>
      <c r="J55" s="23">
        <v>30.09</v>
      </c>
      <c r="K55" s="75">
        <f t="shared" si="7"/>
        <v>225.67500000000001</v>
      </c>
    </row>
    <row r="56" spans="1:25" x14ac:dyDescent="0.2">
      <c r="A56" s="73">
        <v>2230700143</v>
      </c>
      <c r="B56" s="15" t="s">
        <v>75</v>
      </c>
      <c r="C56" s="16">
        <v>1.5</v>
      </c>
      <c r="D56" s="196">
        <v>0.5</v>
      </c>
      <c r="E56" s="196">
        <v>0</v>
      </c>
      <c r="F56" s="32">
        <v>2</v>
      </c>
      <c r="G56" s="17">
        <v>1</v>
      </c>
      <c r="H56" s="12">
        <f t="shared" si="6"/>
        <v>5</v>
      </c>
      <c r="I56" s="26" t="s">
        <v>14</v>
      </c>
      <c r="J56" s="22">
        <v>30.09</v>
      </c>
      <c r="K56" s="74">
        <f t="shared" si="7"/>
        <v>150.44999999999999</v>
      </c>
    </row>
    <row r="57" spans="1:25" x14ac:dyDescent="0.2">
      <c r="A57" s="73">
        <v>2230700666</v>
      </c>
      <c r="B57" s="15" t="s">
        <v>76</v>
      </c>
      <c r="C57" s="16">
        <v>1</v>
      </c>
      <c r="D57" s="196">
        <v>0.5</v>
      </c>
      <c r="E57" s="196">
        <v>2</v>
      </c>
      <c r="F57" s="16">
        <v>1.5</v>
      </c>
      <c r="G57" s="17">
        <v>1</v>
      </c>
      <c r="H57" s="12">
        <f t="shared" si="6"/>
        <v>6</v>
      </c>
      <c r="I57" s="96">
        <v>750</v>
      </c>
      <c r="J57" s="18">
        <v>23.19</v>
      </c>
      <c r="K57" s="74">
        <f t="shared" si="7"/>
        <v>139.14000000000001</v>
      </c>
    </row>
    <row r="58" spans="1:25" x14ac:dyDescent="0.2">
      <c r="A58" s="73">
        <v>2230700369</v>
      </c>
      <c r="B58" s="15" t="s">
        <v>77</v>
      </c>
      <c r="C58" s="16">
        <v>1.5</v>
      </c>
      <c r="D58" s="196">
        <v>1</v>
      </c>
      <c r="E58" s="196">
        <v>2</v>
      </c>
      <c r="F58" s="32">
        <v>1.5</v>
      </c>
      <c r="G58" s="17">
        <v>0.5</v>
      </c>
      <c r="H58" s="81">
        <f t="shared" si="6"/>
        <v>6.5</v>
      </c>
      <c r="I58" s="26" t="s">
        <v>14</v>
      </c>
      <c r="J58" s="18">
        <v>18.05</v>
      </c>
      <c r="K58" s="74">
        <f t="shared" si="7"/>
        <v>117.325</v>
      </c>
    </row>
    <row r="59" spans="1:25" ht="15.75" customHeight="1" x14ac:dyDescent="0.2">
      <c r="A59" s="73">
        <v>2230700803</v>
      </c>
      <c r="B59" s="15" t="s">
        <v>78</v>
      </c>
      <c r="C59" s="16">
        <v>0.5</v>
      </c>
      <c r="D59" s="196">
        <v>1</v>
      </c>
      <c r="E59" s="196">
        <v>1</v>
      </c>
      <c r="F59" s="32">
        <v>1.5</v>
      </c>
      <c r="G59" s="17">
        <v>1.5</v>
      </c>
      <c r="H59" s="12">
        <f t="shared" si="6"/>
        <v>5.5</v>
      </c>
      <c r="I59" s="26" t="s">
        <v>14</v>
      </c>
      <c r="J59" s="18">
        <v>35</v>
      </c>
      <c r="K59" s="74">
        <f t="shared" si="7"/>
        <v>192.5</v>
      </c>
      <c r="O59" s="168"/>
      <c r="P59" s="169"/>
      <c r="Q59" s="169"/>
      <c r="R59" s="170"/>
      <c r="S59" s="170"/>
      <c r="T59" s="171"/>
      <c r="U59" s="172"/>
      <c r="V59" s="173"/>
      <c r="W59" s="174"/>
      <c r="X59" s="170"/>
      <c r="Y59" s="169"/>
    </row>
    <row r="60" spans="1:25" x14ac:dyDescent="0.2">
      <c r="A60" s="73">
        <v>2230700401</v>
      </c>
      <c r="B60" s="15" t="s">
        <v>147</v>
      </c>
      <c r="C60" s="16">
        <v>0.5</v>
      </c>
      <c r="D60" s="196">
        <v>1</v>
      </c>
      <c r="E60" s="196">
        <v>8</v>
      </c>
      <c r="F60" s="32">
        <v>1</v>
      </c>
      <c r="G60" s="17">
        <v>1.5</v>
      </c>
      <c r="H60" s="12">
        <f t="shared" si="6"/>
        <v>12</v>
      </c>
      <c r="I60" s="26" t="s">
        <v>14</v>
      </c>
      <c r="J60" s="18">
        <v>39.19</v>
      </c>
      <c r="K60" s="74">
        <f t="shared" si="7"/>
        <v>470.28</v>
      </c>
    </row>
    <row r="61" spans="1:25" ht="16" x14ac:dyDescent="0.2">
      <c r="A61" s="73">
        <v>2230700516</v>
      </c>
      <c r="B61" s="19" t="s">
        <v>108</v>
      </c>
      <c r="C61" s="16">
        <v>2</v>
      </c>
      <c r="D61" s="196">
        <v>0</v>
      </c>
      <c r="E61" s="196">
        <v>0</v>
      </c>
      <c r="F61" s="32">
        <v>2</v>
      </c>
      <c r="G61" s="17">
        <v>1.5</v>
      </c>
      <c r="H61" s="81">
        <f>SUM(C61:G61)</f>
        <v>5.5</v>
      </c>
      <c r="I61" s="26" t="s">
        <v>14</v>
      </c>
      <c r="J61" s="22">
        <v>31</v>
      </c>
      <c r="K61" s="74">
        <f>H61*J61</f>
        <v>170.5</v>
      </c>
    </row>
    <row r="62" spans="1:25" x14ac:dyDescent="0.2">
      <c r="A62" s="73">
        <v>2230400785</v>
      </c>
      <c r="B62" s="15" t="s">
        <v>79</v>
      </c>
      <c r="C62" s="16">
        <v>2</v>
      </c>
      <c r="D62" s="196">
        <v>0</v>
      </c>
      <c r="E62" s="196">
        <v>3</v>
      </c>
      <c r="F62" s="32">
        <v>1.5</v>
      </c>
      <c r="G62" s="17">
        <v>2</v>
      </c>
      <c r="H62" s="12">
        <f t="shared" ref="H62:H64" si="8">SUM(C62:G62)</f>
        <v>8.5</v>
      </c>
      <c r="I62" s="96">
        <v>750</v>
      </c>
      <c r="J62" s="22">
        <v>20.239999999999998</v>
      </c>
      <c r="K62" s="74">
        <f t="shared" ref="K62" si="9">H62*J62</f>
        <v>172.04</v>
      </c>
    </row>
    <row r="63" spans="1:25" x14ac:dyDescent="0.2">
      <c r="A63" s="101" t="s">
        <v>80</v>
      </c>
      <c r="B63" s="15" t="s">
        <v>81</v>
      </c>
      <c r="C63" s="16">
        <v>0</v>
      </c>
      <c r="D63" s="196">
        <v>3</v>
      </c>
      <c r="E63" s="196">
        <v>0</v>
      </c>
      <c r="F63" s="16">
        <v>0</v>
      </c>
      <c r="G63" s="17">
        <v>0</v>
      </c>
      <c r="H63" s="12">
        <f t="shared" si="8"/>
        <v>3</v>
      </c>
      <c r="I63" s="96" t="s">
        <v>14</v>
      </c>
      <c r="J63" s="18">
        <v>9</v>
      </c>
      <c r="K63" s="74">
        <f>H63*J63</f>
        <v>27</v>
      </c>
    </row>
    <row r="64" spans="1:25" ht="16" x14ac:dyDescent="0.2">
      <c r="A64" s="73">
        <v>2230400373</v>
      </c>
      <c r="B64" s="19" t="s">
        <v>82</v>
      </c>
      <c r="C64" s="16">
        <v>0</v>
      </c>
      <c r="D64" s="196">
        <v>0</v>
      </c>
      <c r="E64" s="196">
        <v>0</v>
      </c>
      <c r="F64" s="16">
        <v>0</v>
      </c>
      <c r="G64" s="17">
        <v>0</v>
      </c>
      <c r="H64" s="81">
        <f t="shared" si="8"/>
        <v>0</v>
      </c>
      <c r="I64" s="96" t="s">
        <v>14</v>
      </c>
      <c r="J64" s="18">
        <v>9.5</v>
      </c>
      <c r="K64" s="74">
        <f>H64*J64</f>
        <v>0</v>
      </c>
    </row>
    <row r="65" spans="1:11" x14ac:dyDescent="0.2">
      <c r="A65" s="73"/>
      <c r="B65" s="15"/>
      <c r="C65" s="16"/>
      <c r="D65" s="196"/>
      <c r="E65" s="196"/>
      <c r="F65" s="32"/>
      <c r="G65" s="17"/>
      <c r="H65" s="12"/>
      <c r="I65" s="96"/>
      <c r="J65" s="22"/>
      <c r="K65" s="74"/>
    </row>
    <row r="66" spans="1:11" hidden="1" x14ac:dyDescent="0.2"/>
    <row r="68" spans="1:11" ht="16" thickBot="1" x14ac:dyDescent="0.25">
      <c r="A68" s="175"/>
      <c r="B68" s="176" t="s">
        <v>0</v>
      </c>
      <c r="C68" s="177"/>
      <c r="D68" s="279"/>
      <c r="E68" s="279"/>
      <c r="F68" s="177"/>
      <c r="G68" s="177"/>
      <c r="H68" s="177"/>
      <c r="I68" s="178" t="s">
        <v>1</v>
      </c>
      <c r="J68" s="179">
        <v>45597</v>
      </c>
      <c r="K68" s="180"/>
    </row>
    <row r="69" spans="1:11" ht="33" thickBot="1" x14ac:dyDescent="0.25">
      <c r="A69" s="68" t="s">
        <v>2</v>
      </c>
      <c r="B69" s="61" t="s">
        <v>54</v>
      </c>
      <c r="C69" s="1" t="s">
        <v>4</v>
      </c>
      <c r="D69" s="2" t="s">
        <v>5</v>
      </c>
      <c r="E69" s="2" t="s">
        <v>6</v>
      </c>
      <c r="F69" s="3" t="s">
        <v>7</v>
      </c>
      <c r="G69" s="4" t="s">
        <v>8</v>
      </c>
      <c r="H69" s="5" t="s">
        <v>9</v>
      </c>
      <c r="I69" s="62" t="s">
        <v>10</v>
      </c>
      <c r="J69" s="63" t="s">
        <v>11</v>
      </c>
      <c r="K69" s="64" t="s">
        <v>12</v>
      </c>
    </row>
    <row r="70" spans="1:11" ht="12.75" customHeight="1" x14ac:dyDescent="0.2">
      <c r="A70" s="104">
        <v>2230250006</v>
      </c>
      <c r="B70" s="41" t="s">
        <v>84</v>
      </c>
      <c r="C70" s="42"/>
      <c r="D70" s="280"/>
      <c r="E70" s="277">
        <v>25</v>
      </c>
      <c r="F70" s="42"/>
      <c r="G70" s="43"/>
      <c r="H70" s="12">
        <f t="shared" ref="H70:H95" si="10">SUM(E70)</f>
        <v>25</v>
      </c>
      <c r="I70" s="40" t="s">
        <v>85</v>
      </c>
      <c r="J70" s="23">
        <v>59.88</v>
      </c>
      <c r="K70" s="75">
        <f>H70*J70</f>
        <v>1497</v>
      </c>
    </row>
    <row r="71" spans="1:11" ht="16" x14ac:dyDescent="0.2">
      <c r="A71" s="104">
        <v>2230200006</v>
      </c>
      <c r="B71" s="41" t="s">
        <v>86</v>
      </c>
      <c r="C71" s="42"/>
      <c r="D71" s="280"/>
      <c r="E71" s="277">
        <v>16</v>
      </c>
      <c r="F71" s="42"/>
      <c r="G71" s="43"/>
      <c r="H71" s="81">
        <f t="shared" si="10"/>
        <v>16</v>
      </c>
      <c r="I71" s="40" t="s">
        <v>14</v>
      </c>
      <c r="J71" s="14">
        <v>6.56</v>
      </c>
      <c r="K71" s="75">
        <f>H71*J71</f>
        <v>104.96</v>
      </c>
    </row>
    <row r="72" spans="1:11" ht="16" x14ac:dyDescent="0.2">
      <c r="A72" s="73">
        <v>2230400037</v>
      </c>
      <c r="B72" s="19" t="s">
        <v>87</v>
      </c>
      <c r="C72" s="25"/>
      <c r="D72" s="281"/>
      <c r="E72" s="196">
        <v>6.5</v>
      </c>
      <c r="F72" s="25"/>
      <c r="G72" s="39"/>
      <c r="H72" s="81">
        <f t="shared" si="10"/>
        <v>6.5</v>
      </c>
      <c r="I72" s="26" t="s">
        <v>14</v>
      </c>
      <c r="J72" s="18">
        <v>2.8</v>
      </c>
      <c r="K72" s="74">
        <f t="shared" ref="K72:K81" si="11">H72*J72</f>
        <v>18.2</v>
      </c>
    </row>
    <row r="73" spans="1:11" ht="16" x14ac:dyDescent="0.2">
      <c r="A73" s="73">
        <v>2230400035</v>
      </c>
      <c r="B73" s="19" t="s">
        <v>88</v>
      </c>
      <c r="C73" s="25"/>
      <c r="D73" s="281"/>
      <c r="E73" s="196">
        <v>0</v>
      </c>
      <c r="F73" s="25"/>
      <c r="G73" s="39"/>
      <c r="H73" s="81">
        <f t="shared" si="10"/>
        <v>0</v>
      </c>
      <c r="I73" s="26" t="s">
        <v>14</v>
      </c>
      <c r="J73" s="18">
        <v>11.5</v>
      </c>
      <c r="K73" s="74">
        <f t="shared" si="11"/>
        <v>0</v>
      </c>
    </row>
    <row r="74" spans="1:11" ht="16" x14ac:dyDescent="0.2">
      <c r="A74" s="104">
        <v>2230450014</v>
      </c>
      <c r="B74" s="41" t="s">
        <v>89</v>
      </c>
      <c r="C74" s="42"/>
      <c r="D74" s="280"/>
      <c r="E74" s="277">
        <v>6</v>
      </c>
      <c r="F74" s="42"/>
      <c r="G74" s="43"/>
      <c r="H74" s="81">
        <f t="shared" si="10"/>
        <v>6</v>
      </c>
      <c r="I74" s="40" t="s">
        <v>14</v>
      </c>
      <c r="J74" s="23">
        <v>10.68</v>
      </c>
      <c r="K74" s="75">
        <f t="shared" si="11"/>
        <v>64.08</v>
      </c>
    </row>
    <row r="75" spans="1:11" ht="16" x14ac:dyDescent="0.2">
      <c r="A75" s="73">
        <v>2230350047</v>
      </c>
      <c r="B75" s="19" t="s">
        <v>151</v>
      </c>
      <c r="C75" s="25"/>
      <c r="D75" s="281"/>
      <c r="E75" s="196">
        <v>8</v>
      </c>
      <c r="F75" s="25"/>
      <c r="G75" s="39"/>
      <c r="H75" s="12">
        <f t="shared" si="10"/>
        <v>8</v>
      </c>
      <c r="I75" s="40" t="s">
        <v>85</v>
      </c>
      <c r="J75" s="18">
        <v>10.25</v>
      </c>
      <c r="K75" s="75">
        <f t="shared" si="11"/>
        <v>82</v>
      </c>
    </row>
    <row r="76" spans="1:11" ht="16" x14ac:dyDescent="0.2">
      <c r="A76" s="73">
        <v>2230350017</v>
      </c>
      <c r="B76" s="19" t="s">
        <v>91</v>
      </c>
      <c r="C76" s="25"/>
      <c r="D76" s="281"/>
      <c r="E76" s="196">
        <v>6.5</v>
      </c>
      <c r="F76" s="25"/>
      <c r="G76" s="39"/>
      <c r="H76" s="81">
        <f t="shared" si="10"/>
        <v>6.5</v>
      </c>
      <c r="I76" s="40" t="s">
        <v>85</v>
      </c>
      <c r="J76" s="22">
        <v>35.99</v>
      </c>
      <c r="K76" s="75">
        <f t="shared" si="11"/>
        <v>233.935</v>
      </c>
    </row>
    <row r="77" spans="1:11" ht="16" x14ac:dyDescent="0.2">
      <c r="A77" s="73">
        <v>2230400047</v>
      </c>
      <c r="B77" s="19" t="s">
        <v>92</v>
      </c>
      <c r="C77" s="25"/>
      <c r="D77" s="281"/>
      <c r="E77" s="196">
        <v>7</v>
      </c>
      <c r="F77" s="25"/>
      <c r="G77" s="39"/>
      <c r="H77" s="81">
        <f t="shared" si="10"/>
        <v>7</v>
      </c>
      <c r="I77" s="40" t="s">
        <v>85</v>
      </c>
      <c r="J77" s="22">
        <v>18.739999999999998</v>
      </c>
      <c r="K77" s="75">
        <f t="shared" si="11"/>
        <v>131.17999999999998</v>
      </c>
    </row>
    <row r="78" spans="1:11" ht="16" x14ac:dyDescent="0.2">
      <c r="A78" s="73">
        <v>2230450021</v>
      </c>
      <c r="B78" s="19" t="s">
        <v>93</v>
      </c>
      <c r="C78" s="25"/>
      <c r="D78" s="281"/>
      <c r="E78" s="196">
        <v>8.5</v>
      </c>
      <c r="F78" s="25"/>
      <c r="G78" s="39"/>
      <c r="H78" s="12">
        <f t="shared" si="10"/>
        <v>8.5</v>
      </c>
      <c r="I78" s="40" t="s">
        <v>85</v>
      </c>
      <c r="J78" s="18">
        <v>20.99</v>
      </c>
      <c r="K78" s="75">
        <f t="shared" si="11"/>
        <v>178.41499999999999</v>
      </c>
    </row>
    <row r="79" spans="1:11" ht="16" x14ac:dyDescent="0.2">
      <c r="A79" s="73">
        <v>2230450008</v>
      </c>
      <c r="B79" s="19" t="s">
        <v>93</v>
      </c>
      <c r="C79" s="25"/>
      <c r="D79" s="281"/>
      <c r="E79" s="196">
        <v>0</v>
      </c>
      <c r="F79" s="25"/>
      <c r="G79" s="39"/>
      <c r="H79" s="12">
        <f t="shared" si="10"/>
        <v>0</v>
      </c>
      <c r="I79" s="26" t="s">
        <v>14</v>
      </c>
      <c r="J79" s="18">
        <v>16.5</v>
      </c>
      <c r="K79" s="74">
        <f t="shared" si="11"/>
        <v>0</v>
      </c>
    </row>
    <row r="80" spans="1:11" ht="16" x14ac:dyDescent="0.2">
      <c r="A80" s="73">
        <v>2230450034</v>
      </c>
      <c r="B80" s="19" t="s">
        <v>94</v>
      </c>
      <c r="C80" s="25"/>
      <c r="D80" s="281"/>
      <c r="E80" s="196">
        <v>18.5</v>
      </c>
      <c r="F80" s="25"/>
      <c r="G80" s="39"/>
      <c r="H80" s="81">
        <f t="shared" si="10"/>
        <v>18.5</v>
      </c>
      <c r="I80" s="40" t="s">
        <v>85</v>
      </c>
      <c r="J80" s="18">
        <v>10.39</v>
      </c>
      <c r="K80" s="75">
        <f t="shared" si="11"/>
        <v>192.215</v>
      </c>
    </row>
    <row r="81" spans="1:11" ht="16" hidden="1" x14ac:dyDescent="0.2">
      <c r="A81" s="73">
        <v>2230450017</v>
      </c>
      <c r="B81" s="19" t="s">
        <v>95</v>
      </c>
      <c r="C81" s="25"/>
      <c r="D81" s="281"/>
      <c r="E81" s="196"/>
      <c r="F81" s="25"/>
      <c r="G81" s="39"/>
      <c r="H81" s="81">
        <f t="shared" si="10"/>
        <v>0</v>
      </c>
      <c r="I81" s="40" t="s">
        <v>85</v>
      </c>
      <c r="J81" s="18">
        <v>21.75</v>
      </c>
      <c r="K81" s="75">
        <f t="shared" si="11"/>
        <v>0</v>
      </c>
    </row>
    <row r="82" spans="1:11" ht="16" x14ac:dyDescent="0.2">
      <c r="A82" s="73">
        <v>2230450030</v>
      </c>
      <c r="B82" s="19" t="s">
        <v>96</v>
      </c>
      <c r="C82" s="25"/>
      <c r="D82" s="281"/>
      <c r="E82" s="196">
        <v>13</v>
      </c>
      <c r="F82" s="25"/>
      <c r="G82" s="39"/>
      <c r="H82" s="81">
        <f t="shared" si="10"/>
        <v>13</v>
      </c>
      <c r="I82" s="26" t="s">
        <v>85</v>
      </c>
      <c r="J82" s="18">
        <v>23.19</v>
      </c>
      <c r="K82" s="74">
        <f>H82*J82</f>
        <v>301.47000000000003</v>
      </c>
    </row>
    <row r="83" spans="1:11" ht="16" x14ac:dyDescent="0.2">
      <c r="A83" s="104">
        <v>2230450009</v>
      </c>
      <c r="B83" s="19" t="s">
        <v>96</v>
      </c>
      <c r="C83" s="42"/>
      <c r="D83" s="280"/>
      <c r="E83" s="277">
        <v>0</v>
      </c>
      <c r="F83" s="42"/>
      <c r="G83" s="43"/>
      <c r="H83" s="81">
        <f t="shared" si="10"/>
        <v>0</v>
      </c>
      <c r="I83" s="40" t="s">
        <v>14</v>
      </c>
      <c r="J83" s="14">
        <v>15.56</v>
      </c>
      <c r="K83" s="74">
        <f>H83*J83</f>
        <v>0</v>
      </c>
    </row>
    <row r="84" spans="1:11" ht="16" x14ac:dyDescent="0.2">
      <c r="A84" s="104">
        <v>2230500038</v>
      </c>
      <c r="B84" s="41" t="s">
        <v>97</v>
      </c>
      <c r="C84" s="42"/>
      <c r="D84" s="280"/>
      <c r="E84" s="277">
        <v>7</v>
      </c>
      <c r="F84" s="42"/>
      <c r="G84" s="43"/>
      <c r="H84" s="81">
        <f t="shared" si="10"/>
        <v>7</v>
      </c>
      <c r="I84" s="40" t="s">
        <v>85</v>
      </c>
      <c r="J84" s="14">
        <v>15.09</v>
      </c>
      <c r="K84" s="75">
        <f t="shared" ref="K84:K96" si="12">H84*J84</f>
        <v>105.63</v>
      </c>
    </row>
    <row r="85" spans="1:11" ht="16" hidden="1" x14ac:dyDescent="0.2">
      <c r="A85" s="73">
        <v>2230550024</v>
      </c>
      <c r="B85" s="19" t="s">
        <v>98</v>
      </c>
      <c r="C85" s="25"/>
      <c r="D85" s="281"/>
      <c r="E85" s="196"/>
      <c r="F85" s="25"/>
      <c r="G85" s="39"/>
      <c r="H85" s="81">
        <f t="shared" si="10"/>
        <v>0</v>
      </c>
      <c r="I85" s="40" t="s">
        <v>85</v>
      </c>
      <c r="J85" s="18">
        <v>16</v>
      </c>
      <c r="K85" s="75">
        <f t="shared" si="12"/>
        <v>0</v>
      </c>
    </row>
    <row r="86" spans="1:11" ht="16" x14ac:dyDescent="0.2">
      <c r="A86" s="105">
        <v>2230550182</v>
      </c>
      <c r="B86" s="19" t="s">
        <v>99</v>
      </c>
      <c r="C86" s="25"/>
      <c r="D86" s="281"/>
      <c r="E86" s="196">
        <v>3.5</v>
      </c>
      <c r="F86" s="25"/>
      <c r="G86" s="39"/>
      <c r="H86" s="81">
        <f t="shared" si="10"/>
        <v>3.5</v>
      </c>
      <c r="I86" s="40" t="s">
        <v>100</v>
      </c>
      <c r="J86" s="22">
        <v>79.86</v>
      </c>
      <c r="K86" s="75">
        <f t="shared" si="12"/>
        <v>279.51</v>
      </c>
    </row>
    <row r="87" spans="1:11" ht="16" x14ac:dyDescent="0.2">
      <c r="A87" s="73">
        <v>2230650034</v>
      </c>
      <c r="B87" s="19" t="s">
        <v>101</v>
      </c>
      <c r="C87" s="25"/>
      <c r="D87" s="281"/>
      <c r="E87" s="196">
        <v>3.5</v>
      </c>
      <c r="F87" s="25"/>
      <c r="G87" s="39"/>
      <c r="H87" s="81">
        <f t="shared" si="10"/>
        <v>3.5</v>
      </c>
      <c r="I87" s="40" t="s">
        <v>14</v>
      </c>
      <c r="J87" s="22">
        <v>27</v>
      </c>
      <c r="K87" s="75">
        <f t="shared" si="12"/>
        <v>94.5</v>
      </c>
    </row>
    <row r="88" spans="1:11" ht="17" thickBot="1" x14ac:dyDescent="0.25">
      <c r="A88" s="73">
        <v>2230650224</v>
      </c>
      <c r="B88" s="19" t="s">
        <v>141</v>
      </c>
      <c r="C88" s="25"/>
      <c r="D88" s="281"/>
      <c r="E88" s="196">
        <v>0</v>
      </c>
      <c r="F88" s="25"/>
      <c r="G88" s="39"/>
      <c r="H88" s="81">
        <f t="shared" si="10"/>
        <v>0</v>
      </c>
      <c r="I88" s="26" t="s">
        <v>14</v>
      </c>
      <c r="J88" s="22">
        <v>4.78</v>
      </c>
      <c r="K88" s="74">
        <f t="shared" si="12"/>
        <v>0</v>
      </c>
    </row>
    <row r="89" spans="1:11" ht="16" x14ac:dyDescent="0.2">
      <c r="A89" s="73">
        <v>2230650147</v>
      </c>
      <c r="B89" s="19" t="s">
        <v>102</v>
      </c>
      <c r="C89" s="25"/>
      <c r="D89" s="281"/>
      <c r="E89" s="196">
        <v>46.5</v>
      </c>
      <c r="F89" s="25"/>
      <c r="G89" s="39"/>
      <c r="H89" s="30">
        <f t="shared" si="10"/>
        <v>46.5</v>
      </c>
      <c r="I89" s="40" t="s">
        <v>85</v>
      </c>
      <c r="J89" s="22">
        <v>7.99</v>
      </c>
      <c r="K89" s="74">
        <f t="shared" si="12"/>
        <v>371.53500000000003</v>
      </c>
    </row>
    <row r="90" spans="1:11" ht="16" hidden="1" x14ac:dyDescent="0.2">
      <c r="A90" s="73">
        <v>2230700299</v>
      </c>
      <c r="B90" s="19" t="s">
        <v>106</v>
      </c>
      <c r="C90" s="25"/>
      <c r="D90" s="281"/>
      <c r="E90" s="196"/>
      <c r="F90" s="25"/>
      <c r="G90" s="39"/>
      <c r="H90" s="81">
        <f t="shared" si="10"/>
        <v>0</v>
      </c>
      <c r="I90" s="40" t="s">
        <v>85</v>
      </c>
      <c r="J90" s="22">
        <v>45.59</v>
      </c>
      <c r="K90" s="74">
        <f t="shared" si="12"/>
        <v>0</v>
      </c>
    </row>
    <row r="91" spans="1:11" ht="16" x14ac:dyDescent="0.2">
      <c r="A91" s="73">
        <v>2230700698</v>
      </c>
      <c r="B91" s="19" t="s">
        <v>107</v>
      </c>
      <c r="C91" s="25"/>
      <c r="D91" s="281"/>
      <c r="E91" s="196">
        <v>5.5</v>
      </c>
      <c r="F91" s="25"/>
      <c r="G91" s="39"/>
      <c r="H91" s="81">
        <f t="shared" si="10"/>
        <v>5.5</v>
      </c>
      <c r="I91" s="40" t="s">
        <v>85</v>
      </c>
      <c r="J91" s="18">
        <v>29.59</v>
      </c>
      <c r="K91" s="74">
        <f t="shared" si="12"/>
        <v>162.745</v>
      </c>
    </row>
    <row r="92" spans="1:11" ht="16" x14ac:dyDescent="0.2">
      <c r="A92" s="73">
        <v>2230650216</v>
      </c>
      <c r="B92" s="19" t="s">
        <v>104</v>
      </c>
      <c r="C92" s="25"/>
      <c r="D92" s="281"/>
      <c r="E92" s="196">
        <v>13</v>
      </c>
      <c r="F92" s="25"/>
      <c r="G92" s="39"/>
      <c r="H92" s="12">
        <f t="shared" si="10"/>
        <v>13</v>
      </c>
      <c r="I92" s="40" t="s">
        <v>85</v>
      </c>
      <c r="J92" s="18">
        <v>27.99</v>
      </c>
      <c r="K92" s="74">
        <f t="shared" si="12"/>
        <v>363.87</v>
      </c>
    </row>
    <row r="93" spans="1:11" ht="16" hidden="1" x14ac:dyDescent="0.2">
      <c r="A93" s="73">
        <v>2230700700</v>
      </c>
      <c r="B93" s="19" t="s">
        <v>105</v>
      </c>
      <c r="C93" s="25"/>
      <c r="D93" s="281"/>
      <c r="E93" s="196"/>
      <c r="F93" s="25"/>
      <c r="G93" s="39"/>
      <c r="H93" s="81">
        <f t="shared" si="10"/>
        <v>0</v>
      </c>
      <c r="I93" s="40" t="s">
        <v>85</v>
      </c>
      <c r="J93" s="22">
        <v>38.4</v>
      </c>
      <c r="K93" s="74">
        <f t="shared" si="12"/>
        <v>0</v>
      </c>
    </row>
    <row r="94" spans="1:11" ht="16" hidden="1" x14ac:dyDescent="0.2">
      <c r="A94" s="73">
        <v>2230700698</v>
      </c>
      <c r="B94" s="19" t="s">
        <v>107</v>
      </c>
      <c r="C94" s="25"/>
      <c r="D94" s="281"/>
      <c r="E94" s="196"/>
      <c r="F94" s="25"/>
      <c r="G94" s="39"/>
      <c r="H94" s="81">
        <f t="shared" si="10"/>
        <v>0</v>
      </c>
      <c r="I94" s="40" t="s">
        <v>85</v>
      </c>
      <c r="J94" s="18">
        <v>34.39</v>
      </c>
      <c r="K94" s="74">
        <f t="shared" si="12"/>
        <v>0</v>
      </c>
    </row>
    <row r="95" spans="1:11" ht="16" x14ac:dyDescent="0.2">
      <c r="A95" s="73">
        <v>2230650216</v>
      </c>
      <c r="B95" s="19" t="s">
        <v>104</v>
      </c>
      <c r="C95" s="25"/>
      <c r="D95" s="281"/>
      <c r="E95" s="196">
        <v>0</v>
      </c>
      <c r="F95" s="25"/>
      <c r="G95" s="39"/>
      <c r="H95" s="12">
        <f t="shared" si="10"/>
        <v>0</v>
      </c>
      <c r="I95" s="40" t="s">
        <v>85</v>
      </c>
      <c r="J95" s="18">
        <v>28.79</v>
      </c>
      <c r="K95" s="74">
        <f t="shared" si="12"/>
        <v>0</v>
      </c>
    </row>
    <row r="96" spans="1:11" ht="16" x14ac:dyDescent="0.2">
      <c r="A96" s="105">
        <v>2230400763</v>
      </c>
      <c r="B96" s="66" t="s">
        <v>53</v>
      </c>
      <c r="C96" s="69"/>
      <c r="D96" s="282"/>
      <c r="E96" s="196">
        <v>3</v>
      </c>
      <c r="F96" s="69"/>
      <c r="G96" s="258"/>
      <c r="H96" s="15">
        <f t="shared" ref="H96" si="13">SUM(C96:G96)</f>
        <v>3</v>
      </c>
      <c r="I96" s="98">
        <v>750</v>
      </c>
      <c r="J96" s="22">
        <v>8.6300000000000008</v>
      </c>
      <c r="K96" s="106">
        <f t="shared" si="12"/>
        <v>25.89</v>
      </c>
    </row>
    <row r="97" spans="1:11" ht="16" x14ac:dyDescent="0.2">
      <c r="A97" s="73">
        <v>2230700941</v>
      </c>
      <c r="B97" s="19" t="s">
        <v>145</v>
      </c>
      <c r="C97" s="25"/>
      <c r="D97" s="281"/>
      <c r="E97" s="196">
        <v>11</v>
      </c>
      <c r="F97" s="25"/>
      <c r="G97" s="39"/>
      <c r="H97" s="81">
        <f>SUM(E97)</f>
        <v>11</v>
      </c>
      <c r="I97" s="26" t="s">
        <v>85</v>
      </c>
      <c r="J97" s="18">
        <v>19.190000000000001</v>
      </c>
      <c r="K97" s="74">
        <f>H97*J97</f>
        <v>211.09</v>
      </c>
    </row>
    <row r="98" spans="1:11" ht="17.25" customHeight="1" x14ac:dyDescent="0.2">
      <c r="A98" s="73">
        <v>2230700480</v>
      </c>
      <c r="B98" s="19" t="s">
        <v>109</v>
      </c>
      <c r="C98" s="25"/>
      <c r="D98" s="281"/>
      <c r="E98" s="196">
        <v>17.5</v>
      </c>
      <c r="F98" s="25"/>
      <c r="G98" s="39"/>
      <c r="H98" s="81">
        <f>SUM(E98)</f>
        <v>17.5</v>
      </c>
      <c r="I98" s="26" t="s">
        <v>85</v>
      </c>
      <c r="J98" s="22">
        <v>11.99</v>
      </c>
      <c r="K98" s="74">
        <f>H98*J98</f>
        <v>209.82500000000002</v>
      </c>
    </row>
    <row r="99" spans="1:11" ht="17.25" customHeight="1" thickBot="1" x14ac:dyDescent="0.25">
      <c r="A99" s="108">
        <v>2230700056</v>
      </c>
      <c r="B99" s="102" t="s">
        <v>142</v>
      </c>
      <c r="C99" s="109"/>
      <c r="D99" s="283"/>
      <c r="E99" s="287">
        <v>16.5</v>
      </c>
      <c r="F99" s="109"/>
      <c r="G99" s="109"/>
      <c r="H99" s="100">
        <f>SUM(E99)</f>
        <v>16.5</v>
      </c>
      <c r="I99" s="65" t="s">
        <v>85</v>
      </c>
      <c r="J99" s="164">
        <v>44.24</v>
      </c>
      <c r="K99" s="78">
        <f>H99*J99</f>
        <v>729.96</v>
      </c>
    </row>
    <row r="100" spans="1:11" x14ac:dyDescent="0.2">
      <c r="A100" s="73"/>
      <c r="B100" s="66"/>
      <c r="C100" s="21"/>
      <c r="D100" s="284"/>
      <c r="E100" s="284"/>
      <c r="F100" s="21"/>
      <c r="G100" s="255"/>
      <c r="H100" s="231"/>
      <c r="I100" s="26"/>
      <c r="J100" s="22"/>
      <c r="K100" s="74"/>
    </row>
    <row r="101" spans="1:11" x14ac:dyDescent="0.2">
      <c r="A101" s="259"/>
      <c r="B101" s="66"/>
      <c r="C101" s="21"/>
      <c r="D101" s="284"/>
      <c r="E101" s="284"/>
      <c r="F101" s="21"/>
      <c r="G101" s="21"/>
      <c r="H101" s="21"/>
      <c r="I101" s="31"/>
      <c r="J101" s="22"/>
      <c r="K101" s="18"/>
    </row>
    <row r="102" spans="1:11" ht="16" hidden="1" x14ac:dyDescent="0.2">
      <c r="A102" s="259">
        <v>2230700056</v>
      </c>
      <c r="B102" s="19" t="s">
        <v>142</v>
      </c>
      <c r="C102" s="25"/>
      <c r="D102" s="281"/>
      <c r="E102" s="196"/>
      <c r="F102" s="25"/>
      <c r="G102" s="25"/>
      <c r="H102" s="15">
        <f>SUM(E102)</f>
        <v>0</v>
      </c>
      <c r="I102" s="31" t="s">
        <v>85</v>
      </c>
      <c r="J102" s="22">
        <v>44.24</v>
      </c>
      <c r="K102" s="18">
        <f>H102*J102</f>
        <v>0</v>
      </c>
    </row>
    <row r="103" spans="1:11" x14ac:dyDescent="0.2">
      <c r="A103" s="259"/>
      <c r="B103" s="66"/>
      <c r="C103" s="21"/>
      <c r="D103" s="284"/>
      <c r="E103" s="284"/>
      <c r="F103" s="21"/>
      <c r="G103" s="21"/>
      <c r="H103" s="21"/>
      <c r="I103" s="261"/>
      <c r="J103" s="22"/>
      <c r="K103" s="22"/>
    </row>
    <row r="104" spans="1:11" x14ac:dyDescent="0.2">
      <c r="A104" s="259"/>
      <c r="B104" s="66"/>
      <c r="C104" s="21"/>
      <c r="D104" s="284"/>
      <c r="E104" s="284"/>
      <c r="F104" s="21"/>
      <c r="G104" s="21"/>
      <c r="H104" s="21"/>
      <c r="I104" s="261"/>
      <c r="J104" s="22"/>
      <c r="K104" s="22"/>
    </row>
    <row r="105" spans="1:11" x14ac:dyDescent="0.2">
      <c r="A105" s="259"/>
      <c r="B105" s="66"/>
      <c r="C105" s="21"/>
      <c r="D105" s="284"/>
      <c r="E105" s="284"/>
      <c r="F105" s="21"/>
      <c r="G105" s="21"/>
      <c r="H105" s="21"/>
      <c r="I105" s="261"/>
      <c r="J105" s="22"/>
      <c r="K105" s="22"/>
    </row>
    <row r="106" spans="1:11" ht="17" thickBot="1" x14ac:dyDescent="0.25">
      <c r="A106" s="79"/>
      <c r="B106" s="33"/>
      <c r="C106" s="33"/>
      <c r="D106" s="197"/>
      <c r="E106" s="197"/>
      <c r="F106" s="33"/>
      <c r="G106" s="33"/>
      <c r="H106" s="44" t="s">
        <v>111</v>
      </c>
      <c r="J106" s="127"/>
      <c r="K106" s="128">
        <f>SUM(K3:K39,K40:K71,K72:K104)</f>
        <v>14462.1525</v>
      </c>
    </row>
    <row r="107" spans="1:11" ht="33" thickBot="1" x14ac:dyDescent="0.25">
      <c r="A107" s="67" t="s">
        <v>2</v>
      </c>
      <c r="B107" s="45" t="s">
        <v>112</v>
      </c>
      <c r="C107" s="1" t="s">
        <v>4</v>
      </c>
      <c r="D107" s="2" t="s">
        <v>5</v>
      </c>
      <c r="E107" s="149" t="s">
        <v>6</v>
      </c>
      <c r="F107" s="3" t="s">
        <v>7</v>
      </c>
      <c r="G107" s="46" t="s">
        <v>8</v>
      </c>
      <c r="H107" s="47" t="s">
        <v>9</v>
      </c>
      <c r="I107" s="48" t="s">
        <v>10</v>
      </c>
      <c r="J107" s="7" t="s">
        <v>113</v>
      </c>
      <c r="K107" s="8" t="s">
        <v>12</v>
      </c>
    </row>
    <row r="108" spans="1:11" ht="16" x14ac:dyDescent="0.2">
      <c r="A108" s="150">
        <v>2210100007</v>
      </c>
      <c r="B108" s="181" t="s">
        <v>114</v>
      </c>
      <c r="C108" s="70">
        <v>84</v>
      </c>
      <c r="D108" s="274">
        <v>21</v>
      </c>
      <c r="E108" s="289"/>
      <c r="F108" s="70">
        <v>28</v>
      </c>
      <c r="G108" s="70">
        <v>24</v>
      </c>
      <c r="H108" s="72">
        <f>SUM(C108:D108,F108:G108)/24</f>
        <v>6.541666666666667</v>
      </c>
      <c r="I108" s="182" t="s">
        <v>42</v>
      </c>
      <c r="J108" s="155">
        <v>25.5</v>
      </c>
      <c r="K108" s="156">
        <f>H108*J108</f>
        <v>166.8125</v>
      </c>
    </row>
    <row r="109" spans="1:11" ht="16" x14ac:dyDescent="0.2">
      <c r="A109" s="112">
        <v>2210100009</v>
      </c>
      <c r="B109" s="83" t="s">
        <v>115</v>
      </c>
      <c r="C109" s="16">
        <v>128</v>
      </c>
      <c r="D109" s="196">
        <v>22</v>
      </c>
      <c r="E109" s="281"/>
      <c r="F109" s="16">
        <v>154</v>
      </c>
      <c r="G109" s="16">
        <v>29</v>
      </c>
      <c r="H109" s="9">
        <f t="shared" ref="H109:H128" si="14">SUM(C109:D109,F109:G109)/24</f>
        <v>13.875</v>
      </c>
      <c r="I109" s="133" t="s">
        <v>42</v>
      </c>
      <c r="J109" s="50">
        <v>25.5</v>
      </c>
      <c r="K109" s="113">
        <f>H109*J109</f>
        <v>353.8125</v>
      </c>
    </row>
    <row r="110" spans="1:11" ht="16" x14ac:dyDescent="0.2">
      <c r="A110" s="112">
        <v>2210100021</v>
      </c>
      <c r="B110" s="83" t="s">
        <v>116</v>
      </c>
      <c r="C110" s="16">
        <v>124</v>
      </c>
      <c r="D110" s="196">
        <v>15</v>
      </c>
      <c r="E110" s="281"/>
      <c r="F110" s="16">
        <v>82</v>
      </c>
      <c r="G110" s="16">
        <v>21</v>
      </c>
      <c r="H110" s="9">
        <f t="shared" si="14"/>
        <v>10.083333333333334</v>
      </c>
      <c r="I110" s="133" t="s">
        <v>42</v>
      </c>
      <c r="J110" s="50">
        <v>26.65</v>
      </c>
      <c r="K110" s="113">
        <f>H110*J110</f>
        <v>268.72083333333336</v>
      </c>
    </row>
    <row r="111" spans="1:11" ht="16" x14ac:dyDescent="0.2">
      <c r="A111" s="112">
        <v>2210100141</v>
      </c>
      <c r="B111" s="83" t="s">
        <v>117</v>
      </c>
      <c r="C111" s="16">
        <v>6</v>
      </c>
      <c r="D111" s="196">
        <v>0</v>
      </c>
      <c r="E111" s="281"/>
      <c r="F111" s="16">
        <v>14</v>
      </c>
      <c r="G111" s="16">
        <v>6</v>
      </c>
      <c r="H111" s="9">
        <f t="shared" si="14"/>
        <v>1.0833333333333333</v>
      </c>
      <c r="I111" s="133" t="s">
        <v>42</v>
      </c>
      <c r="J111" s="50">
        <v>30</v>
      </c>
      <c r="K111" s="113">
        <f>H111*J111</f>
        <v>32.5</v>
      </c>
    </row>
    <row r="112" spans="1:11" ht="16" x14ac:dyDescent="0.2">
      <c r="A112" s="112">
        <v>2210100268</v>
      </c>
      <c r="B112" s="83" t="s">
        <v>118</v>
      </c>
      <c r="C112" s="16">
        <v>63</v>
      </c>
      <c r="D112" s="196">
        <v>17</v>
      </c>
      <c r="E112" s="282"/>
      <c r="F112" s="16">
        <v>28</v>
      </c>
      <c r="G112" s="17">
        <v>14</v>
      </c>
      <c r="H112" s="9">
        <f t="shared" si="14"/>
        <v>5.083333333333333</v>
      </c>
      <c r="I112" s="134" t="s">
        <v>42</v>
      </c>
      <c r="J112" s="50">
        <v>25.05</v>
      </c>
      <c r="K112" s="111">
        <f t="shared" ref="K112" si="15">H112*J112</f>
        <v>127.33749999999999</v>
      </c>
    </row>
    <row r="113" spans="1:11" ht="16" x14ac:dyDescent="0.2">
      <c r="A113" s="112">
        <v>2210150006</v>
      </c>
      <c r="B113" s="83" t="s">
        <v>119</v>
      </c>
      <c r="C113" s="16">
        <v>66</v>
      </c>
      <c r="D113" s="196">
        <v>21</v>
      </c>
      <c r="E113" s="281"/>
      <c r="F113" s="16">
        <v>27</v>
      </c>
      <c r="G113" s="16">
        <v>15</v>
      </c>
      <c r="H113" s="9">
        <f t="shared" si="14"/>
        <v>5.375</v>
      </c>
      <c r="I113" s="133" t="s">
        <v>42</v>
      </c>
      <c r="J113" s="50">
        <v>30.6</v>
      </c>
      <c r="K113" s="113">
        <f>H113*J113</f>
        <v>164.47499999999999</v>
      </c>
    </row>
    <row r="114" spans="1:11" ht="16" x14ac:dyDescent="0.2">
      <c r="A114" s="112">
        <v>2210150029</v>
      </c>
      <c r="B114" s="83" t="s">
        <v>120</v>
      </c>
      <c r="C114" s="16">
        <v>12</v>
      </c>
      <c r="D114" s="196">
        <v>20</v>
      </c>
      <c r="E114" s="282"/>
      <c r="F114" s="16">
        <v>12</v>
      </c>
      <c r="G114" s="17">
        <v>5</v>
      </c>
      <c r="H114" s="9">
        <f t="shared" si="14"/>
        <v>2.0416666666666665</v>
      </c>
      <c r="I114" s="134" t="s">
        <v>42</v>
      </c>
      <c r="J114" s="50">
        <v>30.6</v>
      </c>
      <c r="K114" s="111">
        <f t="shared" ref="K114" si="16">H114*J114</f>
        <v>62.475000000000001</v>
      </c>
    </row>
    <row r="115" spans="1:11" ht="16" x14ac:dyDescent="0.2">
      <c r="A115" s="112">
        <v>2210150264</v>
      </c>
      <c r="B115" s="84" t="s">
        <v>144</v>
      </c>
      <c r="C115" s="16">
        <v>38</v>
      </c>
      <c r="D115" s="196">
        <v>5</v>
      </c>
      <c r="E115" s="282"/>
      <c r="F115" s="16">
        <v>14</v>
      </c>
      <c r="G115" s="17">
        <v>6</v>
      </c>
      <c r="H115" s="9">
        <f t="shared" si="14"/>
        <v>2.625</v>
      </c>
      <c r="I115" s="134" t="s">
        <v>42</v>
      </c>
      <c r="J115" s="50">
        <v>30.6</v>
      </c>
      <c r="K115" s="111">
        <f>H115*J115</f>
        <v>80.325000000000003</v>
      </c>
    </row>
    <row r="116" spans="1:11" ht="16" x14ac:dyDescent="0.2">
      <c r="A116" s="112">
        <v>2230310104</v>
      </c>
      <c r="B116" s="84" t="s">
        <v>121</v>
      </c>
      <c r="C116" s="16">
        <v>5</v>
      </c>
      <c r="D116" s="196">
        <v>2</v>
      </c>
      <c r="E116" s="282"/>
      <c r="F116" s="16">
        <v>6</v>
      </c>
      <c r="G116" s="17">
        <v>7</v>
      </c>
      <c r="H116" s="9">
        <f t="shared" si="14"/>
        <v>0.83333333333333337</v>
      </c>
      <c r="I116" s="134" t="s">
        <v>42</v>
      </c>
      <c r="J116" s="50">
        <v>33</v>
      </c>
      <c r="K116" s="111">
        <f t="shared" ref="K116:K128" si="17">H116*J116</f>
        <v>27.5</v>
      </c>
    </row>
    <row r="117" spans="1:11" ht="16" x14ac:dyDescent="0.2">
      <c r="A117" s="112">
        <v>2010100099</v>
      </c>
      <c r="B117" s="84" t="s">
        <v>122</v>
      </c>
      <c r="C117" s="16">
        <v>10</v>
      </c>
      <c r="D117" s="196">
        <v>10</v>
      </c>
      <c r="E117" s="281"/>
      <c r="F117" s="16">
        <v>7</v>
      </c>
      <c r="G117" s="16">
        <v>7</v>
      </c>
      <c r="H117" s="9">
        <f t="shared" si="14"/>
        <v>1.4166666666666667</v>
      </c>
      <c r="I117" s="133" t="s">
        <v>42</v>
      </c>
      <c r="J117" s="50">
        <v>33</v>
      </c>
      <c r="K117" s="113">
        <f t="shared" si="17"/>
        <v>46.75</v>
      </c>
    </row>
    <row r="118" spans="1:11" ht="16" x14ac:dyDescent="0.2">
      <c r="A118" s="112">
        <v>2010400126</v>
      </c>
      <c r="B118" s="84" t="s">
        <v>123</v>
      </c>
      <c r="C118" s="16">
        <v>6</v>
      </c>
      <c r="D118" s="196">
        <v>4</v>
      </c>
      <c r="E118" s="281"/>
      <c r="F118" s="16">
        <v>9</v>
      </c>
      <c r="G118" s="16">
        <v>4</v>
      </c>
      <c r="H118" s="9">
        <f t="shared" si="14"/>
        <v>0.95833333333333337</v>
      </c>
      <c r="I118" s="133" t="s">
        <v>42</v>
      </c>
      <c r="J118" s="50">
        <v>29.4</v>
      </c>
      <c r="K118" s="113">
        <f t="shared" si="17"/>
        <v>28.175000000000001</v>
      </c>
    </row>
    <row r="119" spans="1:11" ht="16" x14ac:dyDescent="0.2">
      <c r="A119" s="112">
        <v>2210100016</v>
      </c>
      <c r="B119" s="85" t="s">
        <v>124</v>
      </c>
      <c r="C119" s="16">
        <v>65</v>
      </c>
      <c r="D119" s="196">
        <v>23</v>
      </c>
      <c r="E119" s="282"/>
      <c r="F119" s="16">
        <v>22</v>
      </c>
      <c r="G119" s="17">
        <v>18</v>
      </c>
      <c r="H119" s="9">
        <f t="shared" si="14"/>
        <v>5.333333333333333</v>
      </c>
      <c r="I119" s="134" t="s">
        <v>42</v>
      </c>
      <c r="J119" s="50">
        <v>26.95</v>
      </c>
      <c r="K119" s="111">
        <f t="shared" si="17"/>
        <v>143.73333333333332</v>
      </c>
    </row>
    <row r="120" spans="1:11" ht="16" x14ac:dyDescent="0.2">
      <c r="A120" s="112">
        <v>2210100018</v>
      </c>
      <c r="B120" s="84" t="s">
        <v>125</v>
      </c>
      <c r="C120" s="16">
        <v>120</v>
      </c>
      <c r="D120" s="196">
        <v>14</v>
      </c>
      <c r="E120" s="282"/>
      <c r="F120" s="16">
        <v>47</v>
      </c>
      <c r="G120" s="17">
        <v>7</v>
      </c>
      <c r="H120" s="9">
        <f t="shared" si="14"/>
        <v>7.833333333333333</v>
      </c>
      <c r="I120" s="134" t="s">
        <v>42</v>
      </c>
      <c r="J120" s="50">
        <v>26.95</v>
      </c>
      <c r="K120" s="111">
        <f t="shared" si="17"/>
        <v>211.10833333333332</v>
      </c>
    </row>
    <row r="121" spans="1:11" ht="16" x14ac:dyDescent="0.2">
      <c r="A121" s="112">
        <v>2240750012</v>
      </c>
      <c r="B121" s="84" t="s">
        <v>126</v>
      </c>
      <c r="C121" s="16">
        <v>6</v>
      </c>
      <c r="D121" s="196">
        <v>5</v>
      </c>
      <c r="E121" s="281"/>
      <c r="F121" s="16">
        <v>6</v>
      </c>
      <c r="G121" s="16">
        <v>8</v>
      </c>
      <c r="H121" s="9">
        <f t="shared" si="14"/>
        <v>1.0416666666666667</v>
      </c>
      <c r="I121" s="133" t="s">
        <v>42</v>
      </c>
      <c r="J121" s="50">
        <v>31.2</v>
      </c>
      <c r="K121" s="113">
        <f t="shared" si="17"/>
        <v>32.5</v>
      </c>
    </row>
    <row r="122" spans="1:11" ht="16" x14ac:dyDescent="0.2">
      <c r="A122" s="112">
        <v>2210100074</v>
      </c>
      <c r="B122" s="84" t="s">
        <v>127</v>
      </c>
      <c r="C122" s="16">
        <v>6</v>
      </c>
      <c r="D122" s="196">
        <v>4</v>
      </c>
      <c r="E122" s="281"/>
      <c r="F122" s="16">
        <v>7</v>
      </c>
      <c r="G122" s="16">
        <v>4</v>
      </c>
      <c r="H122" s="9">
        <f t="shared" si="14"/>
        <v>0.875</v>
      </c>
      <c r="I122" s="133" t="s">
        <v>42</v>
      </c>
      <c r="J122" s="50">
        <v>33</v>
      </c>
      <c r="K122" s="113">
        <f t="shared" si="17"/>
        <v>28.875</v>
      </c>
    </row>
    <row r="123" spans="1:11" ht="16" x14ac:dyDescent="0.2">
      <c r="A123" s="112">
        <v>2210100091</v>
      </c>
      <c r="B123" s="84" t="s">
        <v>128</v>
      </c>
      <c r="C123" s="16">
        <v>7</v>
      </c>
      <c r="D123" s="196">
        <v>6</v>
      </c>
      <c r="E123" s="281"/>
      <c r="F123" s="16">
        <v>7</v>
      </c>
      <c r="G123" s="16">
        <v>5</v>
      </c>
      <c r="H123" s="9">
        <f t="shared" si="14"/>
        <v>1.0416666666666667</v>
      </c>
      <c r="I123" s="133" t="s">
        <v>42</v>
      </c>
      <c r="J123" s="50">
        <v>48</v>
      </c>
      <c r="K123" s="113">
        <f t="shared" si="17"/>
        <v>50</v>
      </c>
    </row>
    <row r="124" spans="1:11" ht="16" x14ac:dyDescent="0.2">
      <c r="A124" s="112">
        <v>2210100151</v>
      </c>
      <c r="B124" s="84" t="s">
        <v>143</v>
      </c>
      <c r="C124" s="16">
        <v>5</v>
      </c>
      <c r="D124" s="196">
        <v>6</v>
      </c>
      <c r="E124" s="281"/>
      <c r="F124" s="16">
        <v>13</v>
      </c>
      <c r="G124" s="16">
        <v>5</v>
      </c>
      <c r="H124" s="9">
        <f t="shared" si="14"/>
        <v>1.2083333333333333</v>
      </c>
      <c r="I124" s="133" t="s">
        <v>42</v>
      </c>
      <c r="J124" s="50">
        <v>30</v>
      </c>
      <c r="K124" s="113">
        <f t="shared" si="17"/>
        <v>36.25</v>
      </c>
    </row>
    <row r="125" spans="1:11" ht="16" x14ac:dyDescent="0.2">
      <c r="A125" s="112">
        <v>2210101187</v>
      </c>
      <c r="B125" s="92" t="s">
        <v>146</v>
      </c>
      <c r="C125" s="16">
        <v>7</v>
      </c>
      <c r="D125" s="196">
        <v>7</v>
      </c>
      <c r="E125" s="281"/>
      <c r="F125" s="16">
        <v>6</v>
      </c>
      <c r="G125" s="16">
        <v>5</v>
      </c>
      <c r="H125" s="9">
        <f t="shared" si="14"/>
        <v>1.0416666666666667</v>
      </c>
      <c r="I125" s="134" t="s">
        <v>42</v>
      </c>
      <c r="J125" s="50">
        <v>25.6</v>
      </c>
      <c r="K125" s="113">
        <f t="shared" si="17"/>
        <v>26.666666666666671</v>
      </c>
    </row>
    <row r="126" spans="1:11" ht="16" x14ac:dyDescent="0.2">
      <c r="A126" s="112">
        <v>2210150007</v>
      </c>
      <c r="B126" s="84" t="s">
        <v>129</v>
      </c>
      <c r="C126" s="16">
        <v>30</v>
      </c>
      <c r="D126" s="196">
        <v>13</v>
      </c>
      <c r="E126" s="281"/>
      <c r="F126" s="16">
        <v>12</v>
      </c>
      <c r="G126" s="16">
        <v>16</v>
      </c>
      <c r="H126" s="9">
        <f t="shared" si="14"/>
        <v>2.9583333333333335</v>
      </c>
      <c r="I126" s="133" t="s">
        <v>42</v>
      </c>
      <c r="J126" s="50">
        <v>30.22</v>
      </c>
      <c r="K126" s="113">
        <f t="shared" si="17"/>
        <v>89.400833333333338</v>
      </c>
    </row>
    <row r="127" spans="1:11" ht="16" x14ac:dyDescent="0.2">
      <c r="A127" s="272">
        <v>2210300010</v>
      </c>
      <c r="B127" s="84" t="s">
        <v>130</v>
      </c>
      <c r="C127" s="16">
        <v>0</v>
      </c>
      <c r="D127" s="196">
        <v>1</v>
      </c>
      <c r="E127" s="281"/>
      <c r="F127" s="16">
        <v>4</v>
      </c>
      <c r="G127" s="16">
        <v>7</v>
      </c>
      <c r="H127" s="15">
        <f t="shared" si="14"/>
        <v>0.5</v>
      </c>
      <c r="I127" s="133" t="s">
        <v>42</v>
      </c>
      <c r="J127" s="50">
        <v>27</v>
      </c>
      <c r="K127" s="50">
        <f t="shared" si="17"/>
        <v>13.5</v>
      </c>
    </row>
    <row r="128" spans="1:11" ht="17" thickBot="1" x14ac:dyDescent="0.25">
      <c r="A128" s="189">
        <v>2210150092</v>
      </c>
      <c r="B128" s="190" t="s">
        <v>137</v>
      </c>
      <c r="C128" s="192">
        <v>7</v>
      </c>
      <c r="D128" s="285">
        <v>6</v>
      </c>
      <c r="E128" s="290"/>
      <c r="F128" s="192">
        <v>7</v>
      </c>
      <c r="G128" s="193">
        <v>8</v>
      </c>
      <c r="H128" s="121">
        <f t="shared" si="14"/>
        <v>1.1666666666666667</v>
      </c>
      <c r="I128" s="194" t="s">
        <v>42</v>
      </c>
      <c r="J128" s="195">
        <v>30</v>
      </c>
      <c r="K128" s="126">
        <f t="shared" si="17"/>
        <v>35</v>
      </c>
    </row>
    <row r="129" spans="1:11" x14ac:dyDescent="0.2">
      <c r="A129" s="86"/>
      <c r="B129" s="267"/>
      <c r="C129" s="33"/>
      <c r="D129" s="197"/>
      <c r="E129" s="197"/>
      <c r="F129" s="33"/>
      <c r="G129" s="33"/>
      <c r="I129" s="270"/>
      <c r="J129" s="271"/>
      <c r="K129" s="271"/>
    </row>
    <row r="130" spans="1:11" x14ac:dyDescent="0.2">
      <c r="A130" s="79"/>
      <c r="B130" s="33"/>
      <c r="C130" s="33"/>
      <c r="D130" s="197"/>
      <c r="E130" s="197"/>
      <c r="F130" s="33"/>
      <c r="G130" s="33"/>
    </row>
    <row r="133" spans="1:11" x14ac:dyDescent="0.2">
      <c r="A133" s="79"/>
      <c r="B133" s="262"/>
      <c r="C133" s="168"/>
      <c r="D133" s="169"/>
      <c r="E133" s="169"/>
      <c r="F133" s="168"/>
      <c r="G133" s="168"/>
      <c r="H133" s="168"/>
      <c r="I133" s="263"/>
      <c r="J133" s="264"/>
      <c r="K133" s="269"/>
    </row>
    <row r="134" spans="1:11" ht="16" x14ac:dyDescent="0.2">
      <c r="A134" s="168"/>
      <c r="B134" s="265"/>
      <c r="C134" s="169"/>
      <c r="D134" s="170"/>
      <c r="E134" s="266"/>
      <c r="F134" s="171"/>
      <c r="G134" s="172"/>
      <c r="H134" s="173"/>
      <c r="I134" s="174"/>
      <c r="J134" s="170"/>
      <c r="K134" s="169"/>
    </row>
    <row r="135" spans="1:11" x14ac:dyDescent="0.2">
      <c r="A135" s="86"/>
      <c r="B135" s="267"/>
      <c r="C135" s="33"/>
      <c r="D135" s="197"/>
      <c r="E135" s="197"/>
      <c r="F135" s="33"/>
      <c r="G135" s="33"/>
      <c r="H135" s="33"/>
      <c r="I135" s="268"/>
      <c r="J135" s="51"/>
      <c r="K135" s="51"/>
    </row>
    <row r="136" spans="1:11" x14ac:dyDescent="0.2">
      <c r="A136" s="79"/>
      <c r="B136" s="262"/>
      <c r="C136" s="168"/>
      <c r="D136" s="169"/>
      <c r="E136" s="169"/>
      <c r="F136" s="168"/>
      <c r="G136" s="168"/>
      <c r="H136" s="168"/>
      <c r="I136" s="263"/>
      <c r="J136" s="264"/>
      <c r="K136" s="269"/>
    </row>
    <row r="137" spans="1:11" ht="16" thickBot="1" x14ac:dyDescent="0.25">
      <c r="A137" s="143"/>
      <c r="B137" s="144" t="s">
        <v>0</v>
      </c>
      <c r="C137" s="145"/>
      <c r="D137" s="286"/>
      <c r="E137" s="286"/>
      <c r="F137" s="145"/>
      <c r="G137" s="145"/>
      <c r="H137" s="145"/>
      <c r="I137" s="146" t="s">
        <v>1</v>
      </c>
      <c r="J137" s="147">
        <v>45597</v>
      </c>
      <c r="K137" s="148"/>
    </row>
    <row r="138" spans="1:11" ht="33" thickBot="1" x14ac:dyDescent="0.25">
      <c r="A138" s="67" t="s">
        <v>2</v>
      </c>
      <c r="B138" s="88" t="s">
        <v>131</v>
      </c>
      <c r="C138" s="183" t="s">
        <v>4</v>
      </c>
      <c r="D138" s="2" t="s">
        <v>5</v>
      </c>
      <c r="E138" s="60"/>
      <c r="F138" s="3" t="s">
        <v>7</v>
      </c>
      <c r="G138" s="4" t="s">
        <v>8</v>
      </c>
      <c r="H138" s="5" t="s">
        <v>9</v>
      </c>
      <c r="I138" s="6" t="s">
        <v>10</v>
      </c>
      <c r="J138" s="7" t="s">
        <v>113</v>
      </c>
      <c r="K138" s="8" t="s">
        <v>12</v>
      </c>
    </row>
    <row r="139" spans="1:11" ht="16" x14ac:dyDescent="0.2">
      <c r="A139" s="112">
        <v>2210100007</v>
      </c>
      <c r="B139" s="82" t="s">
        <v>114</v>
      </c>
      <c r="C139" s="89"/>
      <c r="D139" s="277">
        <v>3.5</v>
      </c>
      <c r="E139" s="291"/>
      <c r="F139" s="10">
        <v>2.5</v>
      </c>
      <c r="G139" s="11">
        <v>1.5</v>
      </c>
      <c r="H139" s="9">
        <f>D139+F139+G139</f>
        <v>7.5</v>
      </c>
      <c r="I139" s="134" t="s">
        <v>42</v>
      </c>
      <c r="J139" s="155">
        <v>25.5</v>
      </c>
      <c r="K139" s="111">
        <f t="shared" ref="K139:K145" si="18">H139*J139</f>
        <v>191.25</v>
      </c>
    </row>
    <row r="140" spans="1:11" ht="16" x14ac:dyDescent="0.2">
      <c r="A140" s="110">
        <v>2210100009</v>
      </c>
      <c r="B140" s="83" t="s">
        <v>115</v>
      </c>
      <c r="C140" s="69"/>
      <c r="D140" s="196">
        <v>10.5</v>
      </c>
      <c r="E140" s="282"/>
      <c r="F140" s="16">
        <v>8</v>
      </c>
      <c r="G140" s="17">
        <v>2.5</v>
      </c>
      <c r="H140" s="9">
        <f t="shared" ref="H140" si="19">D140+F140+G140</f>
        <v>21</v>
      </c>
      <c r="I140" s="134" t="s">
        <v>42</v>
      </c>
      <c r="J140" s="50">
        <v>25.5</v>
      </c>
      <c r="K140" s="111">
        <f t="shared" si="18"/>
        <v>535.5</v>
      </c>
    </row>
    <row r="141" spans="1:11" ht="16" x14ac:dyDescent="0.2">
      <c r="A141" s="114">
        <v>2210100021</v>
      </c>
      <c r="B141" s="83" t="s">
        <v>116</v>
      </c>
      <c r="C141" s="69"/>
      <c r="D141" s="196">
        <v>0</v>
      </c>
      <c r="E141" s="282"/>
      <c r="F141" s="16">
        <v>0</v>
      </c>
      <c r="G141" s="17">
        <v>0</v>
      </c>
      <c r="H141" s="9"/>
      <c r="I141" s="134" t="s">
        <v>42</v>
      </c>
      <c r="J141" s="50">
        <v>26.65</v>
      </c>
      <c r="K141" s="111">
        <f t="shared" si="18"/>
        <v>0</v>
      </c>
    </row>
    <row r="142" spans="1:11" ht="16" x14ac:dyDescent="0.2">
      <c r="A142" s="112">
        <v>2210100141</v>
      </c>
      <c r="B142" s="83" t="s">
        <v>117</v>
      </c>
      <c r="C142" s="69"/>
      <c r="D142" s="196">
        <v>5</v>
      </c>
      <c r="E142" s="282"/>
      <c r="F142" s="16">
        <v>0.5</v>
      </c>
      <c r="G142" s="17">
        <v>0</v>
      </c>
      <c r="H142" s="9">
        <f t="shared" ref="H142:H145" si="20">D142+F142+G142</f>
        <v>5.5</v>
      </c>
      <c r="I142" s="134" t="s">
        <v>42</v>
      </c>
      <c r="J142" s="50">
        <v>30</v>
      </c>
      <c r="K142" s="111">
        <f t="shared" si="18"/>
        <v>165</v>
      </c>
    </row>
    <row r="143" spans="1:11" ht="16" x14ac:dyDescent="0.2">
      <c r="A143" s="112">
        <v>2210100268</v>
      </c>
      <c r="B143" s="83" t="s">
        <v>118</v>
      </c>
      <c r="C143" s="69"/>
      <c r="D143" s="196">
        <v>1</v>
      </c>
      <c r="E143" s="282"/>
      <c r="F143" s="16">
        <v>1</v>
      </c>
      <c r="G143" s="17">
        <v>1.25</v>
      </c>
      <c r="H143" s="9">
        <f t="shared" si="20"/>
        <v>3.25</v>
      </c>
      <c r="I143" s="134" t="s">
        <v>42</v>
      </c>
      <c r="J143" s="50">
        <v>25.05</v>
      </c>
      <c r="K143" s="111">
        <f t="shared" si="18"/>
        <v>81.412500000000009</v>
      </c>
    </row>
    <row r="144" spans="1:11" ht="16" x14ac:dyDescent="0.2">
      <c r="A144" s="112">
        <v>2210150006</v>
      </c>
      <c r="B144" s="83" t="s">
        <v>119</v>
      </c>
      <c r="C144" s="69"/>
      <c r="D144" s="196">
        <v>8</v>
      </c>
      <c r="E144" s="282"/>
      <c r="F144" s="16">
        <v>5</v>
      </c>
      <c r="G144" s="17">
        <v>1.5</v>
      </c>
      <c r="H144" s="9">
        <f t="shared" si="20"/>
        <v>14.5</v>
      </c>
      <c r="I144" s="134" t="s">
        <v>42</v>
      </c>
      <c r="J144" s="50">
        <v>30.6</v>
      </c>
      <c r="K144" s="111">
        <f t="shared" si="18"/>
        <v>443.70000000000005</v>
      </c>
    </row>
    <row r="145" spans="1:11" ht="16" x14ac:dyDescent="0.2">
      <c r="A145" s="112">
        <v>2210150029</v>
      </c>
      <c r="B145" s="83" t="s">
        <v>120</v>
      </c>
      <c r="C145" s="69"/>
      <c r="D145" s="196">
        <v>2</v>
      </c>
      <c r="E145" s="282"/>
      <c r="F145" s="16">
        <v>0</v>
      </c>
      <c r="G145" s="17">
        <v>0.5</v>
      </c>
      <c r="H145" s="9">
        <f t="shared" si="20"/>
        <v>2.5</v>
      </c>
      <c r="I145" s="134" t="s">
        <v>42</v>
      </c>
      <c r="J145" s="50">
        <v>30.6</v>
      </c>
      <c r="K145" s="111">
        <f t="shared" si="18"/>
        <v>76.5</v>
      </c>
    </row>
    <row r="146" spans="1:11" ht="16" x14ac:dyDescent="0.2">
      <c r="A146" s="112">
        <v>2210150264</v>
      </c>
      <c r="B146" s="84" t="s">
        <v>144</v>
      </c>
      <c r="C146" s="69"/>
      <c r="D146" s="196">
        <v>3</v>
      </c>
      <c r="E146" s="282"/>
      <c r="F146" s="16">
        <v>0</v>
      </c>
      <c r="G146" s="17">
        <v>0</v>
      </c>
      <c r="H146" s="9">
        <f>D146+F146+G146</f>
        <v>3</v>
      </c>
      <c r="I146" s="134" t="s">
        <v>42</v>
      </c>
      <c r="J146" s="50">
        <v>30.6</v>
      </c>
      <c r="K146" s="111">
        <f>H146*J146</f>
        <v>91.800000000000011</v>
      </c>
    </row>
    <row r="147" spans="1:11" ht="16" x14ac:dyDescent="0.2">
      <c r="A147" s="112">
        <v>2230310104</v>
      </c>
      <c r="B147" s="84" t="s">
        <v>121</v>
      </c>
      <c r="C147" s="69"/>
      <c r="D147" s="196">
        <v>0</v>
      </c>
      <c r="E147" s="282"/>
      <c r="F147" s="16">
        <v>0</v>
      </c>
      <c r="G147" s="17">
        <v>0.5</v>
      </c>
      <c r="H147" s="9">
        <f t="shared" ref="H147:H160" si="21">D147+F147+G147</f>
        <v>0.5</v>
      </c>
      <c r="I147" s="134" t="s">
        <v>42</v>
      </c>
      <c r="J147" s="50">
        <v>33</v>
      </c>
      <c r="K147" s="111">
        <f t="shared" ref="K147:K159" si="22">H147*J147</f>
        <v>16.5</v>
      </c>
    </row>
    <row r="148" spans="1:11" ht="16" x14ac:dyDescent="0.2">
      <c r="A148" s="112">
        <v>2230310089</v>
      </c>
      <c r="B148" s="84" t="s">
        <v>122</v>
      </c>
      <c r="C148" s="69"/>
      <c r="D148" s="196">
        <v>2</v>
      </c>
      <c r="E148" s="282"/>
      <c r="F148" s="16">
        <v>0.25</v>
      </c>
      <c r="G148" s="17">
        <v>0.5</v>
      </c>
      <c r="H148" s="9">
        <f t="shared" si="21"/>
        <v>2.75</v>
      </c>
      <c r="I148" s="134" t="s">
        <v>42</v>
      </c>
      <c r="J148" s="50">
        <v>33</v>
      </c>
      <c r="K148" s="111">
        <f t="shared" si="22"/>
        <v>90.75</v>
      </c>
    </row>
    <row r="149" spans="1:11" ht="16" x14ac:dyDescent="0.2">
      <c r="A149" s="112">
        <v>2010400126</v>
      </c>
      <c r="B149" s="84" t="s">
        <v>123</v>
      </c>
      <c r="C149" s="69"/>
      <c r="D149" s="196">
        <v>0</v>
      </c>
      <c r="E149" s="282"/>
      <c r="F149" s="16">
        <v>0</v>
      </c>
      <c r="G149" s="17">
        <v>0.25</v>
      </c>
      <c r="H149" s="9">
        <f t="shared" si="21"/>
        <v>0.25</v>
      </c>
      <c r="I149" s="134" t="s">
        <v>42</v>
      </c>
      <c r="J149" s="50">
        <v>29.4</v>
      </c>
      <c r="K149" s="111">
        <f t="shared" si="22"/>
        <v>7.35</v>
      </c>
    </row>
    <row r="150" spans="1:11" ht="16" x14ac:dyDescent="0.2">
      <c r="A150" s="112">
        <v>2210100016</v>
      </c>
      <c r="B150" s="85" t="s">
        <v>124</v>
      </c>
      <c r="C150" s="69"/>
      <c r="D150" s="196">
        <v>26</v>
      </c>
      <c r="E150" s="282"/>
      <c r="F150" s="16">
        <v>7.5</v>
      </c>
      <c r="G150" s="17">
        <v>1.5</v>
      </c>
      <c r="H150" s="9">
        <f t="shared" si="21"/>
        <v>35</v>
      </c>
      <c r="I150" s="134" t="s">
        <v>42</v>
      </c>
      <c r="J150" s="50">
        <v>26.95</v>
      </c>
      <c r="K150" s="111">
        <f t="shared" si="22"/>
        <v>943.25</v>
      </c>
    </row>
    <row r="151" spans="1:11" ht="16" x14ac:dyDescent="0.2">
      <c r="A151" s="112">
        <v>2210100018</v>
      </c>
      <c r="B151" s="84" t="s">
        <v>125</v>
      </c>
      <c r="C151" s="69"/>
      <c r="D151" s="196">
        <v>6</v>
      </c>
      <c r="E151" s="282"/>
      <c r="F151" s="16">
        <v>2.5</v>
      </c>
      <c r="G151" s="17">
        <v>2</v>
      </c>
      <c r="H151" s="9">
        <f t="shared" si="21"/>
        <v>10.5</v>
      </c>
      <c r="I151" s="134" t="s">
        <v>42</v>
      </c>
      <c r="J151" s="50">
        <v>26.95</v>
      </c>
      <c r="K151" s="111">
        <f t="shared" si="22"/>
        <v>282.97499999999997</v>
      </c>
    </row>
    <row r="152" spans="1:11" ht="16" x14ac:dyDescent="0.2">
      <c r="A152" s="112">
        <v>2210100053</v>
      </c>
      <c r="B152" s="84" t="s">
        <v>126</v>
      </c>
      <c r="C152" s="90"/>
      <c r="D152" s="275">
        <v>0</v>
      </c>
      <c r="E152" s="292"/>
      <c r="F152" s="53">
        <v>0.5</v>
      </c>
      <c r="G152" s="54">
        <v>0</v>
      </c>
      <c r="H152" s="9">
        <f t="shared" si="21"/>
        <v>0.5</v>
      </c>
      <c r="I152" s="135" t="s">
        <v>42</v>
      </c>
      <c r="J152" s="50">
        <v>31.2</v>
      </c>
      <c r="K152" s="119">
        <f t="shared" si="22"/>
        <v>15.6</v>
      </c>
    </row>
    <row r="153" spans="1:11" ht="16" x14ac:dyDescent="0.2">
      <c r="A153" s="110">
        <v>2210100074</v>
      </c>
      <c r="B153" s="91" t="s">
        <v>127</v>
      </c>
      <c r="C153" s="69"/>
      <c r="D153" s="196">
        <v>0</v>
      </c>
      <c r="E153" s="282"/>
      <c r="F153" s="16">
        <v>1</v>
      </c>
      <c r="G153" s="17">
        <v>0.5</v>
      </c>
      <c r="H153" s="9">
        <f t="shared" si="21"/>
        <v>1.5</v>
      </c>
      <c r="I153" s="134" t="s">
        <v>42</v>
      </c>
      <c r="J153" s="50">
        <v>33</v>
      </c>
      <c r="K153" s="111">
        <f t="shared" si="22"/>
        <v>49.5</v>
      </c>
    </row>
    <row r="154" spans="1:11" ht="16" x14ac:dyDescent="0.2">
      <c r="A154" s="112">
        <v>2210100091</v>
      </c>
      <c r="B154" s="84" t="s">
        <v>128</v>
      </c>
      <c r="C154" s="69"/>
      <c r="D154" s="196">
        <v>1</v>
      </c>
      <c r="E154" s="282"/>
      <c r="F154" s="16">
        <v>0.25</v>
      </c>
      <c r="G154" s="17">
        <v>0.5</v>
      </c>
      <c r="H154" s="9">
        <f t="shared" si="21"/>
        <v>1.75</v>
      </c>
      <c r="I154" s="134" t="s">
        <v>42</v>
      </c>
      <c r="J154" s="50">
        <v>48</v>
      </c>
      <c r="K154" s="111">
        <f t="shared" si="22"/>
        <v>84</v>
      </c>
    </row>
    <row r="155" spans="1:11" ht="16" x14ac:dyDescent="0.2">
      <c r="A155" s="112">
        <v>2210100151</v>
      </c>
      <c r="B155" s="84" t="s">
        <v>143</v>
      </c>
      <c r="C155" s="69"/>
      <c r="D155" s="196">
        <v>0</v>
      </c>
      <c r="E155" s="282"/>
      <c r="F155" s="16">
        <v>1.75</v>
      </c>
      <c r="G155" s="17">
        <v>0.25</v>
      </c>
      <c r="H155" s="9">
        <f t="shared" si="21"/>
        <v>2</v>
      </c>
      <c r="I155" s="134" t="s">
        <v>42</v>
      </c>
      <c r="J155" s="50">
        <v>30</v>
      </c>
      <c r="K155" s="111">
        <f t="shared" si="22"/>
        <v>60</v>
      </c>
    </row>
    <row r="156" spans="1:11" ht="16" x14ac:dyDescent="0.2">
      <c r="A156" s="112">
        <v>2210101187</v>
      </c>
      <c r="B156" s="92" t="s">
        <v>146</v>
      </c>
      <c r="C156" s="69"/>
      <c r="D156" s="196">
        <v>3</v>
      </c>
      <c r="E156" s="282"/>
      <c r="F156" s="16">
        <v>1.5</v>
      </c>
      <c r="G156" s="17">
        <v>0</v>
      </c>
      <c r="H156" s="9">
        <f t="shared" si="21"/>
        <v>4.5</v>
      </c>
      <c r="I156" s="134" t="s">
        <v>42</v>
      </c>
      <c r="J156" s="50">
        <v>25.6</v>
      </c>
      <c r="K156" s="111">
        <f t="shared" si="22"/>
        <v>115.2</v>
      </c>
    </row>
    <row r="157" spans="1:11" ht="16" hidden="1" x14ac:dyDescent="0.2">
      <c r="A157" s="112">
        <v>2210300010</v>
      </c>
      <c r="B157" s="92" t="s">
        <v>129</v>
      </c>
      <c r="C157" s="69"/>
      <c r="D157" s="196"/>
      <c r="E157" s="282"/>
      <c r="F157" s="16"/>
      <c r="G157" s="17"/>
      <c r="H157" s="9">
        <f t="shared" si="21"/>
        <v>0</v>
      </c>
      <c r="I157" s="134" t="s">
        <v>42</v>
      </c>
      <c r="J157" s="50">
        <v>30.22</v>
      </c>
      <c r="K157" s="111">
        <f t="shared" si="22"/>
        <v>0</v>
      </c>
    </row>
    <row r="158" spans="1:11" ht="16" x14ac:dyDescent="0.2">
      <c r="A158" s="112">
        <v>2210300010</v>
      </c>
      <c r="B158" s="84" t="s">
        <v>130</v>
      </c>
      <c r="C158" s="69"/>
      <c r="D158" s="196">
        <v>0</v>
      </c>
      <c r="E158" s="282"/>
      <c r="F158" s="16">
        <v>0</v>
      </c>
      <c r="G158" s="17">
        <v>0</v>
      </c>
      <c r="H158" s="15">
        <f t="shared" si="21"/>
        <v>0</v>
      </c>
      <c r="I158" s="96" t="s">
        <v>42</v>
      </c>
      <c r="J158" s="50">
        <v>27</v>
      </c>
      <c r="K158" s="113">
        <f t="shared" si="22"/>
        <v>0</v>
      </c>
    </row>
    <row r="159" spans="1:11" ht="17" thickBot="1" x14ac:dyDescent="0.25">
      <c r="A159" s="189">
        <v>2210150092</v>
      </c>
      <c r="B159" s="190" t="s">
        <v>137</v>
      </c>
      <c r="C159" s="191"/>
      <c r="D159" s="285">
        <v>1</v>
      </c>
      <c r="E159" s="290"/>
      <c r="F159" s="192">
        <v>1</v>
      </c>
      <c r="G159" s="193">
        <v>0.25</v>
      </c>
      <c r="H159" s="121">
        <f t="shared" si="21"/>
        <v>2.25</v>
      </c>
      <c r="I159" s="194" t="s">
        <v>42</v>
      </c>
      <c r="J159" s="117">
        <v>30</v>
      </c>
      <c r="K159" s="126">
        <f t="shared" si="22"/>
        <v>67.5</v>
      </c>
    </row>
    <row r="160" spans="1:11" ht="18" thickBot="1" x14ac:dyDescent="0.25">
      <c r="A160" s="86"/>
      <c r="B160" s="260" t="s">
        <v>132</v>
      </c>
      <c r="C160" s="33"/>
      <c r="D160" s="197"/>
      <c r="E160" s="197"/>
      <c r="F160" s="33"/>
      <c r="G160" s="33"/>
      <c r="H160" s="33">
        <f t="shared" si="21"/>
        <v>0</v>
      </c>
      <c r="I160" s="34"/>
      <c r="J160" s="51"/>
      <c r="K160" s="51"/>
    </row>
    <row r="161" spans="1:11" ht="33" thickBot="1" x14ac:dyDescent="0.25">
      <c r="A161" s="67" t="s">
        <v>2</v>
      </c>
      <c r="B161" s="93" t="s">
        <v>132</v>
      </c>
      <c r="C161" s="52" t="s">
        <v>4</v>
      </c>
      <c r="D161" s="2"/>
      <c r="E161" s="60"/>
      <c r="F161" s="59"/>
      <c r="G161" s="56"/>
      <c r="H161" s="5" t="s">
        <v>9</v>
      </c>
      <c r="I161" s="6" t="s">
        <v>10</v>
      </c>
      <c r="J161" s="7" t="s">
        <v>133</v>
      </c>
      <c r="K161" s="8" t="s">
        <v>12</v>
      </c>
    </row>
    <row r="162" spans="1:11" x14ac:dyDescent="0.2">
      <c r="A162" s="150">
        <v>2210200045</v>
      </c>
      <c r="B162" s="151" t="s">
        <v>125</v>
      </c>
      <c r="C162" s="152"/>
      <c r="D162" s="274">
        <v>3</v>
      </c>
      <c r="E162" s="293"/>
      <c r="F162" s="153"/>
      <c r="G162" s="71">
        <v>2.5</v>
      </c>
      <c r="H162" s="30">
        <f>SUM(D162:G162)</f>
        <v>5.5</v>
      </c>
      <c r="I162" s="154" t="s">
        <v>134</v>
      </c>
      <c r="J162" s="155">
        <v>181.75</v>
      </c>
      <c r="K162" s="156">
        <f>H162*J162</f>
        <v>999.625</v>
      </c>
    </row>
    <row r="163" spans="1:11" x14ac:dyDescent="0.2">
      <c r="A163" s="110">
        <v>2210200262</v>
      </c>
      <c r="B163" s="94" t="s">
        <v>139</v>
      </c>
      <c r="C163" s="42"/>
      <c r="D163" s="277">
        <v>1</v>
      </c>
      <c r="E163" s="291"/>
      <c r="F163" s="89"/>
      <c r="G163" s="11">
        <v>0</v>
      </c>
      <c r="H163" s="12">
        <f>SUM(C163:G163)</f>
        <v>1</v>
      </c>
      <c r="I163" s="13" t="s">
        <v>134</v>
      </c>
      <c r="J163" s="49">
        <v>198.75</v>
      </c>
      <c r="K163" s="111">
        <f>H163*J163</f>
        <v>198.75</v>
      </c>
    </row>
    <row r="164" spans="1:11" x14ac:dyDescent="0.2">
      <c r="A164" s="112">
        <v>2210200072</v>
      </c>
      <c r="B164" s="95" t="s">
        <v>124</v>
      </c>
      <c r="C164" s="25"/>
      <c r="D164" s="196">
        <v>2</v>
      </c>
      <c r="E164" s="282"/>
      <c r="F164" s="69"/>
      <c r="G164" s="17">
        <v>1.25</v>
      </c>
      <c r="H164" s="12">
        <f t="shared" ref="H164:H167" si="23">SUM(D164:G164)</f>
        <v>3.25</v>
      </c>
      <c r="I164" s="13" t="s">
        <v>134</v>
      </c>
      <c r="J164" s="50">
        <v>181.75</v>
      </c>
      <c r="K164" s="111">
        <f t="shared" ref="K164:K167" si="24">H164*J164</f>
        <v>590.6875</v>
      </c>
    </row>
    <row r="165" spans="1:11" x14ac:dyDescent="0.2">
      <c r="A165" s="122">
        <v>2210200083</v>
      </c>
      <c r="B165" s="95" t="s">
        <v>135</v>
      </c>
      <c r="C165" s="25"/>
      <c r="D165" s="196">
        <v>3</v>
      </c>
      <c r="E165" s="282"/>
      <c r="F165" s="69"/>
      <c r="G165" s="17">
        <v>1.75</v>
      </c>
      <c r="H165" s="12">
        <f t="shared" si="23"/>
        <v>4.75</v>
      </c>
      <c r="I165" s="13" t="s">
        <v>134</v>
      </c>
      <c r="J165" s="50">
        <v>206</v>
      </c>
      <c r="K165" s="111">
        <f t="shared" si="24"/>
        <v>978.5</v>
      </c>
    </row>
    <row r="166" spans="1:11" x14ac:dyDescent="0.2">
      <c r="A166" s="112">
        <v>2210200345</v>
      </c>
      <c r="B166" s="95" t="s">
        <v>136</v>
      </c>
      <c r="C166" s="25"/>
      <c r="D166" s="196">
        <v>2</v>
      </c>
      <c r="E166" s="282"/>
      <c r="F166" s="69"/>
      <c r="G166" s="17">
        <v>1.75</v>
      </c>
      <c r="H166" s="12">
        <f t="shared" si="23"/>
        <v>3.75</v>
      </c>
      <c r="I166" s="13" t="s">
        <v>134</v>
      </c>
      <c r="J166" s="50">
        <v>204</v>
      </c>
      <c r="K166" s="111">
        <f t="shared" si="24"/>
        <v>765</v>
      </c>
    </row>
    <row r="167" spans="1:11" ht="16" thickBot="1" x14ac:dyDescent="0.25">
      <c r="A167" s="123">
        <v>2210200485</v>
      </c>
      <c r="B167" s="124" t="s">
        <v>140</v>
      </c>
      <c r="C167" s="109"/>
      <c r="D167" s="287">
        <v>2</v>
      </c>
      <c r="E167" s="294"/>
      <c r="F167" s="120"/>
      <c r="G167" s="77">
        <v>2.75</v>
      </c>
      <c r="H167" s="100">
        <f t="shared" si="23"/>
        <v>4.75</v>
      </c>
      <c r="I167" s="125" t="s">
        <v>134</v>
      </c>
      <c r="J167" s="117">
        <v>184</v>
      </c>
      <c r="K167" s="126">
        <f t="shared" si="24"/>
        <v>874</v>
      </c>
    </row>
    <row r="168" spans="1:11" ht="16" x14ac:dyDescent="0.2">
      <c r="H168" s="57" t="s">
        <v>138</v>
      </c>
      <c r="I168" s="58"/>
      <c r="J168" s="136"/>
      <c r="K168" s="136">
        <f>SUM(K113:K134,K139:K158,K162:K167)</f>
        <v>8733.5841666666674</v>
      </c>
    </row>
  </sheetData>
  <pageMargins left="0" right="0" top="0.25" bottom="0.25" header="0.3" footer="0.3"/>
  <pageSetup scale="78" orientation="portrait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9853-9DBA-4A93-B721-EA69CC17E448}">
  <sheetPr>
    <tabColor theme="2"/>
  </sheetPr>
  <dimension ref="A1:Y167"/>
  <sheetViews>
    <sheetView topLeftCell="A40" zoomScaleNormal="100" workbookViewId="0">
      <selection activeCell="O111" sqref="O111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3" max="4" width="9.1640625" customWidth="1"/>
    <col min="5" max="6" width="9.1640625" style="80" customWidth="1"/>
    <col min="7" max="7" width="9.1640625" customWidth="1"/>
    <col min="8" max="8" width="12.5" customWidth="1"/>
    <col min="9" max="9" width="11" customWidth="1"/>
    <col min="10" max="10" width="8.83203125" bestFit="1" customWidth="1"/>
    <col min="11" max="11" width="14.1640625" customWidth="1"/>
    <col min="12" max="12" width="55.1640625" bestFit="1" customWidth="1"/>
    <col min="15" max="15" width="11.5" bestFit="1" customWidth="1"/>
    <col min="18" max="18" width="11" bestFit="1" customWidth="1"/>
    <col min="19" max="19" width="7.33203125" bestFit="1" customWidth="1"/>
  </cols>
  <sheetData>
    <row r="1" spans="1:11" ht="16" thickBot="1" x14ac:dyDescent="0.25">
      <c r="A1" s="137"/>
      <c r="B1" s="138" t="s">
        <v>0</v>
      </c>
      <c r="C1" s="139"/>
      <c r="D1" s="139"/>
      <c r="E1" s="139"/>
      <c r="F1" s="139"/>
      <c r="G1" s="139"/>
      <c r="H1" s="139"/>
      <c r="I1" s="140" t="s">
        <v>1</v>
      </c>
      <c r="J1" s="141">
        <v>45352</v>
      </c>
      <c r="K1" s="142"/>
    </row>
    <row r="2" spans="1:11" ht="33" thickBot="1" x14ac:dyDescent="0.25">
      <c r="A2" s="67" t="s">
        <v>2</v>
      </c>
      <c r="B2" s="47" t="s">
        <v>3</v>
      </c>
      <c r="C2" s="1" t="s">
        <v>4</v>
      </c>
      <c r="D2" s="2" t="s">
        <v>5</v>
      </c>
      <c r="E2" s="205" t="s">
        <v>6</v>
      </c>
      <c r="F2" s="221" t="s">
        <v>7</v>
      </c>
      <c r="G2" s="4" t="s">
        <v>8</v>
      </c>
      <c r="H2" s="5" t="s">
        <v>9</v>
      </c>
      <c r="I2" s="6" t="s">
        <v>10</v>
      </c>
      <c r="J2" s="7" t="s">
        <v>11</v>
      </c>
      <c r="K2" s="8" t="s">
        <v>12</v>
      </c>
    </row>
    <row r="3" spans="1:11" x14ac:dyDescent="0.2">
      <c r="A3" s="104">
        <v>2230350002</v>
      </c>
      <c r="B3" s="9" t="s">
        <v>13</v>
      </c>
      <c r="C3" s="70">
        <v>1.5</v>
      </c>
      <c r="D3" s="70">
        <v>1</v>
      </c>
      <c r="E3" s="206">
        <v>1</v>
      </c>
      <c r="F3" s="206">
        <v>1.5</v>
      </c>
      <c r="G3" s="70">
        <v>1</v>
      </c>
      <c r="H3" s="184">
        <f>SUM(C3:G3)</f>
        <v>6</v>
      </c>
      <c r="I3" s="40" t="s">
        <v>14</v>
      </c>
      <c r="J3" s="14">
        <v>25</v>
      </c>
      <c r="K3" s="75">
        <f>H3*J3</f>
        <v>150</v>
      </c>
    </row>
    <row r="4" spans="1:11" x14ac:dyDescent="0.2">
      <c r="A4" s="73">
        <v>2230400014</v>
      </c>
      <c r="B4" s="15" t="s">
        <v>15</v>
      </c>
      <c r="C4" s="16">
        <v>1.25</v>
      </c>
      <c r="D4" s="16">
        <v>0</v>
      </c>
      <c r="E4" s="32">
        <v>1</v>
      </c>
      <c r="F4" s="32">
        <v>1</v>
      </c>
      <c r="G4" s="16">
        <v>1</v>
      </c>
      <c r="H4" s="15">
        <f t="shared" ref="H4:H40" si="0">SUM(C4:G4)</f>
        <v>4.25</v>
      </c>
      <c r="I4" s="96">
        <v>750</v>
      </c>
      <c r="J4" s="18">
        <v>20.16</v>
      </c>
      <c r="K4" s="74">
        <f>H4*J4</f>
        <v>85.68</v>
      </c>
    </row>
    <row r="5" spans="1:11" x14ac:dyDescent="0.2">
      <c r="A5" s="73">
        <v>2230400016</v>
      </c>
      <c r="B5" s="15" t="s">
        <v>16</v>
      </c>
      <c r="C5" s="16">
        <v>1.75</v>
      </c>
      <c r="D5" s="16">
        <v>1</v>
      </c>
      <c r="E5" s="32">
        <v>2</v>
      </c>
      <c r="F5" s="32">
        <v>1</v>
      </c>
      <c r="G5" s="16">
        <v>0.5</v>
      </c>
      <c r="H5" s="15">
        <f t="shared" si="0"/>
        <v>6.25</v>
      </c>
      <c r="I5" s="96">
        <v>750</v>
      </c>
      <c r="J5" s="22">
        <v>27.19</v>
      </c>
      <c r="K5" s="74">
        <f t="shared" ref="K5:K40" si="1">H5*J5</f>
        <v>169.9375</v>
      </c>
    </row>
    <row r="6" spans="1:11" x14ac:dyDescent="0.2">
      <c r="A6" s="73">
        <v>2230400032</v>
      </c>
      <c r="B6" s="15" t="s">
        <v>17</v>
      </c>
      <c r="C6" s="16">
        <v>1.5</v>
      </c>
      <c r="D6" s="16">
        <v>0</v>
      </c>
      <c r="E6" s="32">
        <v>2</v>
      </c>
      <c r="F6" s="32">
        <v>1</v>
      </c>
      <c r="G6" s="16">
        <v>1</v>
      </c>
      <c r="H6" s="15">
        <f t="shared" si="0"/>
        <v>5.5</v>
      </c>
      <c r="I6" s="26" t="s">
        <v>14</v>
      </c>
      <c r="J6" s="22">
        <v>35.75</v>
      </c>
      <c r="K6" s="74">
        <f t="shared" si="1"/>
        <v>196.625</v>
      </c>
    </row>
    <row r="7" spans="1:11" x14ac:dyDescent="0.2">
      <c r="A7" s="73">
        <v>2230400030</v>
      </c>
      <c r="B7" s="15" t="s">
        <v>18</v>
      </c>
      <c r="C7" s="16">
        <v>1.25</v>
      </c>
      <c r="D7" s="16">
        <v>0.5</v>
      </c>
      <c r="E7" s="32">
        <v>1</v>
      </c>
      <c r="F7" s="32">
        <v>1</v>
      </c>
      <c r="G7" s="16">
        <v>0.5</v>
      </c>
      <c r="H7" s="15">
        <f t="shared" si="0"/>
        <v>4.25</v>
      </c>
      <c r="I7" s="26" t="s">
        <v>14</v>
      </c>
      <c r="J7" s="18">
        <v>23.19</v>
      </c>
      <c r="K7" s="74">
        <f t="shared" si="1"/>
        <v>98.557500000000005</v>
      </c>
    </row>
    <row r="8" spans="1:11" x14ac:dyDescent="0.2">
      <c r="A8" s="73">
        <v>2230400012</v>
      </c>
      <c r="B8" s="15" t="s">
        <v>19</v>
      </c>
      <c r="C8" s="16"/>
      <c r="D8" s="16"/>
      <c r="E8" s="32"/>
      <c r="F8" s="32"/>
      <c r="G8" s="16"/>
      <c r="H8" s="15">
        <f t="shared" si="0"/>
        <v>0</v>
      </c>
      <c r="I8" s="26" t="s">
        <v>14</v>
      </c>
      <c r="J8" s="18">
        <v>22.48</v>
      </c>
      <c r="K8" s="74">
        <f t="shared" si="1"/>
        <v>0</v>
      </c>
    </row>
    <row r="9" spans="1:11" x14ac:dyDescent="0.2">
      <c r="A9" s="73">
        <v>2230400018</v>
      </c>
      <c r="B9" s="15" t="s">
        <v>20</v>
      </c>
      <c r="C9" s="16">
        <v>1.25</v>
      </c>
      <c r="D9" s="16">
        <v>1.5</v>
      </c>
      <c r="E9" s="32">
        <v>3</v>
      </c>
      <c r="F9" s="32">
        <v>2.5</v>
      </c>
      <c r="G9" s="16">
        <v>0</v>
      </c>
      <c r="H9" s="15">
        <f t="shared" si="0"/>
        <v>8.25</v>
      </c>
      <c r="I9" s="26" t="s">
        <v>29</v>
      </c>
      <c r="J9" s="18">
        <v>26.61</v>
      </c>
      <c r="K9" s="74">
        <f t="shared" si="1"/>
        <v>219.5325</v>
      </c>
    </row>
    <row r="10" spans="1:11" ht="16" x14ac:dyDescent="0.2">
      <c r="A10" s="73">
        <v>2230400011</v>
      </c>
      <c r="B10" s="19" t="s">
        <v>21</v>
      </c>
      <c r="C10" s="16">
        <v>1.5</v>
      </c>
      <c r="D10" s="16">
        <v>1</v>
      </c>
      <c r="E10" s="32">
        <v>3</v>
      </c>
      <c r="F10" s="32">
        <v>0.5</v>
      </c>
      <c r="G10" s="16">
        <v>0</v>
      </c>
      <c r="H10" s="15">
        <f t="shared" si="0"/>
        <v>6</v>
      </c>
      <c r="I10" s="26" t="s">
        <v>29</v>
      </c>
      <c r="J10" s="18">
        <v>7.51</v>
      </c>
      <c r="K10" s="74">
        <f t="shared" si="1"/>
        <v>45.06</v>
      </c>
    </row>
    <row r="11" spans="1:11" x14ac:dyDescent="0.2">
      <c r="A11" s="73">
        <v>2230400026</v>
      </c>
      <c r="B11" s="15" t="s">
        <v>22</v>
      </c>
      <c r="C11" s="69"/>
      <c r="D11" s="69"/>
      <c r="E11" s="32">
        <v>8</v>
      </c>
      <c r="F11" s="214"/>
      <c r="G11" s="69"/>
      <c r="H11" s="15">
        <f t="shared" si="0"/>
        <v>8</v>
      </c>
      <c r="I11" s="26" t="s">
        <v>14</v>
      </c>
      <c r="J11" s="18">
        <v>7.87</v>
      </c>
      <c r="K11" s="74">
        <f t="shared" si="1"/>
        <v>62.96</v>
      </c>
    </row>
    <row r="12" spans="1:11" x14ac:dyDescent="0.2">
      <c r="A12" s="73">
        <v>2230400452</v>
      </c>
      <c r="B12" s="15" t="s">
        <v>23</v>
      </c>
      <c r="C12" s="16">
        <v>1.5</v>
      </c>
      <c r="D12" s="16">
        <v>1</v>
      </c>
      <c r="E12" s="32">
        <v>1</v>
      </c>
      <c r="F12" s="32">
        <v>0</v>
      </c>
      <c r="G12" s="16">
        <v>1</v>
      </c>
      <c r="H12" s="15">
        <f t="shared" si="0"/>
        <v>4.5</v>
      </c>
      <c r="I12" s="26" t="s">
        <v>14</v>
      </c>
      <c r="J12" s="22">
        <v>7.88</v>
      </c>
      <c r="K12" s="74">
        <f t="shared" si="1"/>
        <v>35.46</v>
      </c>
    </row>
    <row r="13" spans="1:11" ht="16" x14ac:dyDescent="0.2">
      <c r="A13" s="73">
        <v>2230500001</v>
      </c>
      <c r="B13" s="19" t="s">
        <v>24</v>
      </c>
      <c r="C13" s="16">
        <v>3</v>
      </c>
      <c r="D13" s="16">
        <v>0</v>
      </c>
      <c r="E13" s="32">
        <v>0</v>
      </c>
      <c r="F13" s="32">
        <v>0.5</v>
      </c>
      <c r="G13" s="16">
        <v>1</v>
      </c>
      <c r="H13" s="15">
        <f t="shared" si="0"/>
        <v>4.5</v>
      </c>
      <c r="I13" s="26" t="s">
        <v>14</v>
      </c>
      <c r="J13" s="18">
        <v>37.659999999999997</v>
      </c>
      <c r="K13" s="74">
        <f t="shared" si="1"/>
        <v>169.46999999999997</v>
      </c>
    </row>
    <row r="14" spans="1:11" x14ac:dyDescent="0.2">
      <c r="A14" s="73">
        <v>2230500004</v>
      </c>
      <c r="B14" s="15" t="s">
        <v>25</v>
      </c>
      <c r="C14" s="16">
        <v>1</v>
      </c>
      <c r="D14" s="16">
        <v>0</v>
      </c>
      <c r="E14" s="32">
        <v>1</v>
      </c>
      <c r="F14" s="32">
        <v>1</v>
      </c>
      <c r="G14" s="16">
        <v>0.5</v>
      </c>
      <c r="H14" s="15">
        <f t="shared" si="0"/>
        <v>3.5</v>
      </c>
      <c r="I14" s="26" t="s">
        <v>14</v>
      </c>
      <c r="J14" s="18">
        <v>43.49</v>
      </c>
      <c r="K14" s="74">
        <f t="shared" si="1"/>
        <v>152.215</v>
      </c>
    </row>
    <row r="15" spans="1:11" x14ac:dyDescent="0.2">
      <c r="A15" s="73">
        <v>2230650036</v>
      </c>
      <c r="B15" s="15" t="s">
        <v>26</v>
      </c>
      <c r="C15" s="69"/>
      <c r="D15" s="69"/>
      <c r="E15" s="32"/>
      <c r="F15" s="214"/>
      <c r="G15" s="69"/>
      <c r="H15" s="15">
        <f t="shared" si="0"/>
        <v>0</v>
      </c>
      <c r="I15" s="26" t="s">
        <v>14</v>
      </c>
      <c r="J15" s="18">
        <v>22.27</v>
      </c>
      <c r="K15" s="74">
        <f t="shared" si="1"/>
        <v>0</v>
      </c>
    </row>
    <row r="16" spans="1:11" x14ac:dyDescent="0.2">
      <c r="A16" s="105">
        <v>2230650044</v>
      </c>
      <c r="B16" s="21" t="s">
        <v>27</v>
      </c>
      <c r="C16" s="16">
        <v>1</v>
      </c>
      <c r="D16" s="16">
        <v>2</v>
      </c>
      <c r="E16" s="32">
        <v>2</v>
      </c>
      <c r="F16" s="32">
        <v>1</v>
      </c>
      <c r="G16" s="16">
        <v>0</v>
      </c>
      <c r="H16" s="15">
        <f t="shared" si="0"/>
        <v>6</v>
      </c>
      <c r="I16" s="97" t="s">
        <v>14</v>
      </c>
      <c r="J16" s="22">
        <v>22.5</v>
      </c>
      <c r="K16" s="106">
        <f t="shared" si="1"/>
        <v>135</v>
      </c>
    </row>
    <row r="17" spans="1:11" ht="16" x14ac:dyDescent="0.2">
      <c r="A17" s="73">
        <v>2240200016</v>
      </c>
      <c r="B17" s="19" t="s">
        <v>28</v>
      </c>
      <c r="C17" s="16">
        <v>2.5</v>
      </c>
      <c r="D17" s="16">
        <v>1.5</v>
      </c>
      <c r="E17" s="32">
        <v>8</v>
      </c>
      <c r="F17" s="32">
        <v>1.5</v>
      </c>
      <c r="G17" s="16">
        <v>3</v>
      </c>
      <c r="H17" s="15">
        <f t="shared" si="0"/>
        <v>16.5</v>
      </c>
      <c r="I17" s="26" t="s">
        <v>29</v>
      </c>
      <c r="J17" s="18">
        <v>5.56</v>
      </c>
      <c r="K17" s="74">
        <f t="shared" si="1"/>
        <v>91.74</v>
      </c>
    </row>
    <row r="18" spans="1:11" ht="16" x14ac:dyDescent="0.2">
      <c r="A18" s="73">
        <v>2240200017</v>
      </c>
      <c r="B18" s="19" t="s">
        <v>30</v>
      </c>
      <c r="C18" s="16">
        <v>2</v>
      </c>
      <c r="D18" s="16">
        <v>2</v>
      </c>
      <c r="E18" s="32">
        <v>11</v>
      </c>
      <c r="F18" s="32">
        <v>2</v>
      </c>
      <c r="G18" s="16">
        <v>2</v>
      </c>
      <c r="H18" s="15">
        <f t="shared" si="0"/>
        <v>19</v>
      </c>
      <c r="I18" s="26" t="s">
        <v>29</v>
      </c>
      <c r="J18" s="18">
        <v>5.58</v>
      </c>
      <c r="K18" s="74">
        <f t="shared" si="1"/>
        <v>106.02</v>
      </c>
    </row>
    <row r="19" spans="1:11" x14ac:dyDescent="0.2">
      <c r="A19" s="104">
        <v>2230250010</v>
      </c>
      <c r="B19" s="9" t="s">
        <v>31</v>
      </c>
      <c r="C19" s="16">
        <v>0.25</v>
      </c>
      <c r="D19" s="16">
        <v>2</v>
      </c>
      <c r="E19" s="32">
        <v>3</v>
      </c>
      <c r="F19" s="32">
        <v>1.5</v>
      </c>
      <c r="G19" s="16">
        <v>0</v>
      </c>
      <c r="H19" s="15">
        <f t="shared" si="0"/>
        <v>6.75</v>
      </c>
      <c r="I19" s="40" t="s">
        <v>14</v>
      </c>
      <c r="J19" s="23">
        <v>50.24</v>
      </c>
      <c r="K19" s="75">
        <f t="shared" si="1"/>
        <v>339.12</v>
      </c>
    </row>
    <row r="20" spans="1:11" x14ac:dyDescent="0.2">
      <c r="A20" s="73">
        <v>2230250007</v>
      </c>
      <c r="B20" s="15" t="s">
        <v>32</v>
      </c>
      <c r="C20" s="16">
        <v>1.75</v>
      </c>
      <c r="D20" s="16">
        <v>1</v>
      </c>
      <c r="E20" s="32">
        <v>9</v>
      </c>
      <c r="F20" s="32">
        <v>2.5</v>
      </c>
      <c r="G20" s="16">
        <v>0.5</v>
      </c>
      <c r="H20" s="15">
        <f t="shared" si="0"/>
        <v>14.75</v>
      </c>
      <c r="I20" s="96">
        <v>750</v>
      </c>
      <c r="J20" s="22">
        <v>32</v>
      </c>
      <c r="K20" s="75">
        <f t="shared" si="1"/>
        <v>472</v>
      </c>
    </row>
    <row r="21" spans="1:11" x14ac:dyDescent="0.2">
      <c r="A21" s="105">
        <v>2230350016</v>
      </c>
      <c r="B21" s="21" t="s">
        <v>33</v>
      </c>
      <c r="C21" s="16"/>
      <c r="D21" s="16"/>
      <c r="E21" s="32"/>
      <c r="F21" s="32"/>
      <c r="G21" s="16"/>
      <c r="H21" s="15">
        <f t="shared" si="0"/>
        <v>0</v>
      </c>
      <c r="I21" s="97" t="s">
        <v>14</v>
      </c>
      <c r="J21" s="22">
        <v>6</v>
      </c>
      <c r="K21" s="131">
        <f t="shared" si="1"/>
        <v>0</v>
      </c>
    </row>
    <row r="22" spans="1:11" ht="16" x14ac:dyDescent="0.2">
      <c r="A22" s="129">
        <v>2230350018</v>
      </c>
      <c r="B22" s="24" t="s">
        <v>34</v>
      </c>
      <c r="C22" s="16"/>
      <c r="D22" s="16"/>
      <c r="E22" s="32"/>
      <c r="F22" s="32"/>
      <c r="G22" s="16"/>
      <c r="H22" s="15">
        <f t="shared" si="0"/>
        <v>0</v>
      </c>
      <c r="I22" s="99" t="s">
        <v>14</v>
      </c>
      <c r="J22" s="20">
        <v>28.09</v>
      </c>
      <c r="K22" s="132">
        <f t="shared" si="1"/>
        <v>0</v>
      </c>
    </row>
    <row r="23" spans="1:11" x14ac:dyDescent="0.2">
      <c r="A23" s="73">
        <v>2230400099</v>
      </c>
      <c r="B23" s="15" t="s">
        <v>35</v>
      </c>
      <c r="C23" s="16">
        <v>1.25</v>
      </c>
      <c r="D23" s="16">
        <v>1</v>
      </c>
      <c r="E23" s="32">
        <v>1</v>
      </c>
      <c r="F23" s="32">
        <v>2</v>
      </c>
      <c r="G23" s="16">
        <v>1</v>
      </c>
      <c r="H23" s="15">
        <f t="shared" si="0"/>
        <v>6.25</v>
      </c>
      <c r="I23" s="97" t="s">
        <v>14</v>
      </c>
      <c r="J23" s="22">
        <v>35</v>
      </c>
      <c r="K23" s="75">
        <f t="shared" si="1"/>
        <v>218.75</v>
      </c>
    </row>
    <row r="24" spans="1:11" x14ac:dyDescent="0.2">
      <c r="A24" s="73">
        <v>2230400091</v>
      </c>
      <c r="B24" s="15" t="s">
        <v>36</v>
      </c>
      <c r="C24" s="16">
        <v>0</v>
      </c>
      <c r="D24" s="16">
        <v>1</v>
      </c>
      <c r="E24" s="32">
        <v>1</v>
      </c>
      <c r="F24" s="32">
        <v>0.5</v>
      </c>
      <c r="G24" s="16">
        <v>1</v>
      </c>
      <c r="H24" s="15">
        <f t="shared" si="0"/>
        <v>3.5</v>
      </c>
      <c r="I24" s="97" t="s">
        <v>14</v>
      </c>
      <c r="J24" s="18">
        <v>8.58</v>
      </c>
      <c r="K24" s="75">
        <f t="shared" si="1"/>
        <v>30.03</v>
      </c>
    </row>
    <row r="25" spans="1:11" x14ac:dyDescent="0.2">
      <c r="A25" s="73">
        <v>2230400092</v>
      </c>
      <c r="B25" s="15" t="s">
        <v>37</v>
      </c>
      <c r="C25" s="16">
        <v>0.5</v>
      </c>
      <c r="D25" s="16">
        <v>1</v>
      </c>
      <c r="E25" s="32">
        <v>1</v>
      </c>
      <c r="F25" s="32">
        <v>0.5</v>
      </c>
      <c r="G25" s="16">
        <v>1</v>
      </c>
      <c r="H25" s="15">
        <f t="shared" si="0"/>
        <v>4</v>
      </c>
      <c r="I25" s="97" t="s">
        <v>14</v>
      </c>
      <c r="J25" s="18">
        <v>8.58</v>
      </c>
      <c r="K25" s="75">
        <f t="shared" si="1"/>
        <v>34.32</v>
      </c>
    </row>
    <row r="26" spans="1:11" x14ac:dyDescent="0.2">
      <c r="A26" s="73">
        <v>2230400053</v>
      </c>
      <c r="B26" s="15" t="s">
        <v>38</v>
      </c>
      <c r="C26" s="16"/>
      <c r="D26" s="16"/>
      <c r="E26" s="32"/>
      <c r="F26" s="32"/>
      <c r="G26" s="16"/>
      <c r="H26" s="15">
        <f t="shared" si="0"/>
        <v>0</v>
      </c>
      <c r="I26" s="96">
        <v>750</v>
      </c>
      <c r="J26" s="18">
        <v>25.49</v>
      </c>
      <c r="K26" s="75">
        <f t="shared" si="1"/>
        <v>0</v>
      </c>
    </row>
    <row r="27" spans="1:11" x14ac:dyDescent="0.2">
      <c r="A27" s="73">
        <v>2230400559</v>
      </c>
      <c r="B27" s="15" t="s">
        <v>39</v>
      </c>
      <c r="C27" s="16">
        <v>1.5</v>
      </c>
      <c r="D27" s="16">
        <v>1</v>
      </c>
      <c r="E27" s="32">
        <v>1</v>
      </c>
      <c r="F27" s="32">
        <v>1.5</v>
      </c>
      <c r="G27" s="16">
        <v>0</v>
      </c>
      <c r="H27" s="15">
        <f t="shared" si="0"/>
        <v>5</v>
      </c>
      <c r="I27" s="96">
        <v>750</v>
      </c>
      <c r="J27" s="22">
        <v>17.75</v>
      </c>
      <c r="K27" s="75">
        <f t="shared" si="1"/>
        <v>88.75</v>
      </c>
    </row>
    <row r="28" spans="1:11" x14ac:dyDescent="0.2">
      <c r="A28" s="73">
        <v>2230400097</v>
      </c>
      <c r="B28" s="15" t="s">
        <v>40</v>
      </c>
      <c r="C28" s="16">
        <v>0.75</v>
      </c>
      <c r="D28" s="16">
        <v>0.5</v>
      </c>
      <c r="E28" s="32">
        <v>2</v>
      </c>
      <c r="F28" s="32">
        <v>1.5</v>
      </c>
      <c r="G28" s="16">
        <v>0</v>
      </c>
      <c r="H28" s="15">
        <f t="shared" si="0"/>
        <v>4.75</v>
      </c>
      <c r="I28" s="26" t="s">
        <v>14</v>
      </c>
      <c r="J28" s="22">
        <v>9</v>
      </c>
      <c r="K28" s="75">
        <f t="shared" si="1"/>
        <v>42.75</v>
      </c>
    </row>
    <row r="29" spans="1:11" ht="16" x14ac:dyDescent="0.2">
      <c r="A29" s="105">
        <v>2240100006</v>
      </c>
      <c r="B29" s="66" t="s">
        <v>41</v>
      </c>
      <c r="C29" s="16">
        <v>1.5</v>
      </c>
      <c r="D29" s="16">
        <v>1.5</v>
      </c>
      <c r="E29" s="32">
        <v>6</v>
      </c>
      <c r="F29" s="32">
        <v>3</v>
      </c>
      <c r="G29" s="16">
        <v>2</v>
      </c>
      <c r="H29" s="15">
        <f t="shared" si="0"/>
        <v>14</v>
      </c>
      <c r="I29" s="97" t="s">
        <v>29</v>
      </c>
      <c r="J29" s="22">
        <v>6.99</v>
      </c>
      <c r="K29" s="131">
        <f t="shared" si="1"/>
        <v>97.86</v>
      </c>
    </row>
    <row r="30" spans="1:11" ht="16" x14ac:dyDescent="0.2">
      <c r="A30" s="105">
        <v>2240200018</v>
      </c>
      <c r="B30" s="66" t="s">
        <v>43</v>
      </c>
      <c r="C30" s="16">
        <v>2.5</v>
      </c>
      <c r="D30" s="16">
        <v>1.5</v>
      </c>
      <c r="E30" s="32">
        <v>8</v>
      </c>
      <c r="F30" s="32">
        <v>3</v>
      </c>
      <c r="G30" s="16">
        <v>1.5</v>
      </c>
      <c r="H30" s="15">
        <f t="shared" si="0"/>
        <v>16.5</v>
      </c>
      <c r="I30" s="97" t="s">
        <v>29</v>
      </c>
      <c r="J30" s="22">
        <v>6.99</v>
      </c>
      <c r="K30" s="131">
        <f t="shared" si="1"/>
        <v>115.33500000000001</v>
      </c>
    </row>
    <row r="31" spans="1:11" x14ac:dyDescent="0.2">
      <c r="A31" s="105">
        <v>2240100004</v>
      </c>
      <c r="B31" s="21" t="s">
        <v>44</v>
      </c>
      <c r="C31" s="16">
        <v>2.5</v>
      </c>
      <c r="D31" s="16">
        <v>1.5</v>
      </c>
      <c r="E31" s="32">
        <v>8</v>
      </c>
      <c r="F31" s="32">
        <v>2</v>
      </c>
      <c r="G31" s="16">
        <v>2</v>
      </c>
      <c r="H31" s="15">
        <f t="shared" si="0"/>
        <v>16</v>
      </c>
      <c r="I31" s="97" t="s">
        <v>29</v>
      </c>
      <c r="J31" s="22">
        <v>6.99</v>
      </c>
      <c r="K31" s="131">
        <f t="shared" si="1"/>
        <v>111.84</v>
      </c>
    </row>
    <row r="32" spans="1:11" x14ac:dyDescent="0.2">
      <c r="A32" s="105">
        <v>2240300043</v>
      </c>
      <c r="B32" s="21" t="s">
        <v>45</v>
      </c>
      <c r="C32" s="16">
        <v>1.5</v>
      </c>
      <c r="D32" s="16">
        <v>2</v>
      </c>
      <c r="E32" s="32">
        <v>4</v>
      </c>
      <c r="F32" s="32">
        <v>3</v>
      </c>
      <c r="G32" s="16">
        <v>2</v>
      </c>
      <c r="H32" s="15">
        <f t="shared" si="0"/>
        <v>12.5</v>
      </c>
      <c r="I32" s="98">
        <v>750</v>
      </c>
      <c r="J32" s="22">
        <v>7.01</v>
      </c>
      <c r="K32" s="163">
        <f t="shared" si="1"/>
        <v>87.625</v>
      </c>
    </row>
    <row r="33" spans="1:11" ht="16" x14ac:dyDescent="0.2">
      <c r="A33" s="105">
        <v>2240050011</v>
      </c>
      <c r="B33" s="66" t="s">
        <v>46</v>
      </c>
      <c r="C33" s="16">
        <v>2.5</v>
      </c>
      <c r="D33" s="16">
        <v>1</v>
      </c>
      <c r="E33" s="32">
        <v>10</v>
      </c>
      <c r="F33" s="32">
        <v>5</v>
      </c>
      <c r="G33" s="16">
        <v>3</v>
      </c>
      <c r="H33" s="15">
        <f t="shared" si="0"/>
        <v>21.5</v>
      </c>
      <c r="I33" s="98">
        <v>750</v>
      </c>
      <c r="J33" s="22">
        <v>4</v>
      </c>
      <c r="K33" s="131">
        <f t="shared" si="1"/>
        <v>86</v>
      </c>
    </row>
    <row r="34" spans="1:11" x14ac:dyDescent="0.2">
      <c r="A34" s="73">
        <v>2230400093</v>
      </c>
      <c r="B34" s="27" t="s">
        <v>47</v>
      </c>
      <c r="C34" s="16">
        <v>1</v>
      </c>
      <c r="D34" s="16">
        <v>1</v>
      </c>
      <c r="E34" s="32">
        <v>0</v>
      </c>
      <c r="F34" s="32">
        <v>1</v>
      </c>
      <c r="G34" s="16">
        <v>1.5</v>
      </c>
      <c r="H34" s="15">
        <f t="shared" si="0"/>
        <v>4.5</v>
      </c>
      <c r="I34" s="26" t="s">
        <v>14</v>
      </c>
      <c r="J34" s="18">
        <v>25.77</v>
      </c>
      <c r="K34" s="74">
        <f t="shared" si="1"/>
        <v>115.965</v>
      </c>
    </row>
    <row r="35" spans="1:11" x14ac:dyDescent="0.2">
      <c r="A35" s="73">
        <v>2230200007</v>
      </c>
      <c r="B35" s="15" t="s">
        <v>48</v>
      </c>
      <c r="C35" s="16">
        <v>1</v>
      </c>
      <c r="D35" s="16">
        <v>0</v>
      </c>
      <c r="E35" s="32">
        <v>2</v>
      </c>
      <c r="F35" s="32">
        <v>1</v>
      </c>
      <c r="G35" s="16">
        <v>0</v>
      </c>
      <c r="H35" s="15">
        <f t="shared" si="0"/>
        <v>4</v>
      </c>
      <c r="I35" s="26" t="s">
        <v>14</v>
      </c>
      <c r="J35" s="18">
        <v>26.77</v>
      </c>
      <c r="K35" s="74">
        <f t="shared" si="1"/>
        <v>107.08</v>
      </c>
    </row>
    <row r="36" spans="1:11" x14ac:dyDescent="0.2">
      <c r="A36" s="73">
        <v>2230400057</v>
      </c>
      <c r="B36" s="27" t="s">
        <v>49</v>
      </c>
      <c r="C36" s="53">
        <v>1.5</v>
      </c>
      <c r="D36" s="53">
        <v>2</v>
      </c>
      <c r="E36" s="207">
        <v>6</v>
      </c>
      <c r="F36" s="207">
        <v>2</v>
      </c>
      <c r="G36" s="53">
        <v>2</v>
      </c>
      <c r="H36" s="187">
        <f t="shared" si="0"/>
        <v>13.5</v>
      </c>
      <c r="I36" s="26" t="s">
        <v>14</v>
      </c>
      <c r="J36" s="22">
        <v>24.07</v>
      </c>
      <c r="K36" s="74">
        <f t="shared" si="1"/>
        <v>324.94499999999999</v>
      </c>
    </row>
    <row r="37" spans="1:11" ht="16" x14ac:dyDescent="0.2">
      <c r="A37" s="73">
        <v>2230700431</v>
      </c>
      <c r="B37" s="28" t="s">
        <v>50</v>
      </c>
      <c r="C37" s="16">
        <v>1.5</v>
      </c>
      <c r="D37" s="16">
        <v>1</v>
      </c>
      <c r="E37" s="32">
        <v>4</v>
      </c>
      <c r="F37" s="32">
        <v>0.5</v>
      </c>
      <c r="G37" s="16">
        <v>0.5</v>
      </c>
      <c r="H37" s="15">
        <f t="shared" si="0"/>
        <v>7.5</v>
      </c>
      <c r="I37" s="26" t="s">
        <v>14</v>
      </c>
      <c r="J37" s="18">
        <v>14.88</v>
      </c>
      <c r="K37" s="74">
        <f t="shared" si="1"/>
        <v>111.60000000000001</v>
      </c>
    </row>
    <row r="38" spans="1:11" ht="16" x14ac:dyDescent="0.2">
      <c r="A38" s="129">
        <v>2230400059</v>
      </c>
      <c r="B38" s="24" t="s">
        <v>51</v>
      </c>
      <c r="C38" s="185">
        <v>0.5</v>
      </c>
      <c r="D38" s="185">
        <v>0</v>
      </c>
      <c r="E38" s="208">
        <v>0</v>
      </c>
      <c r="F38" s="208">
        <v>0.5</v>
      </c>
      <c r="G38" s="186">
        <v>0</v>
      </c>
      <c r="H38" s="185">
        <f t="shared" si="0"/>
        <v>1</v>
      </c>
      <c r="I38" s="99" t="s">
        <v>14</v>
      </c>
      <c r="J38" s="20">
        <v>9.6300000000000008</v>
      </c>
      <c r="K38" s="130">
        <f t="shared" si="1"/>
        <v>9.6300000000000008</v>
      </c>
    </row>
    <row r="39" spans="1:11" x14ac:dyDescent="0.2">
      <c r="A39" s="165">
        <v>2230400762</v>
      </c>
      <c r="B39" s="166" t="s">
        <v>52</v>
      </c>
      <c r="C39" s="16">
        <v>1</v>
      </c>
      <c r="D39" s="16">
        <v>0</v>
      </c>
      <c r="E39" s="32">
        <v>0</v>
      </c>
      <c r="F39" s="32">
        <v>1.5</v>
      </c>
      <c r="G39" s="17">
        <v>1</v>
      </c>
      <c r="H39" s="15">
        <f t="shared" si="0"/>
        <v>3.5</v>
      </c>
      <c r="I39" s="167" t="s">
        <v>14</v>
      </c>
      <c r="J39" s="23">
        <v>8.6</v>
      </c>
      <c r="K39" s="131">
        <f t="shared" si="1"/>
        <v>30.099999999999998</v>
      </c>
    </row>
    <row r="40" spans="1:11" ht="16" x14ac:dyDescent="0.2">
      <c r="A40" s="105">
        <v>2230400763</v>
      </c>
      <c r="B40" s="66" t="s">
        <v>53</v>
      </c>
      <c r="C40" s="69"/>
      <c r="D40" s="69"/>
      <c r="E40" s="32">
        <v>2</v>
      </c>
      <c r="F40" s="214"/>
      <c r="G40" s="258"/>
      <c r="H40" s="15">
        <f t="shared" si="0"/>
        <v>2</v>
      </c>
      <c r="I40" s="98">
        <v>750</v>
      </c>
      <c r="J40" s="22">
        <v>9.7100000000000009</v>
      </c>
      <c r="K40" s="106">
        <f t="shared" si="1"/>
        <v>19.420000000000002</v>
      </c>
    </row>
    <row r="41" spans="1:11" ht="16" x14ac:dyDescent="0.2">
      <c r="A41" s="188" t="s">
        <v>55</v>
      </c>
      <c r="B41" s="29" t="s">
        <v>56</v>
      </c>
      <c r="C41" s="10">
        <v>0.5</v>
      </c>
      <c r="D41" s="10">
        <v>1</v>
      </c>
      <c r="E41" s="209">
        <v>0</v>
      </c>
      <c r="F41" s="209">
        <v>0</v>
      </c>
      <c r="G41" s="11">
        <v>0</v>
      </c>
      <c r="H41" s="9">
        <f>SUM(C41:G41)</f>
        <v>1.5</v>
      </c>
      <c r="I41" s="40" t="s">
        <v>14</v>
      </c>
      <c r="J41" s="14">
        <v>3.75</v>
      </c>
      <c r="K41" s="75">
        <f>H41*J41</f>
        <v>5.625</v>
      </c>
    </row>
    <row r="42" spans="1:11" ht="17.25" customHeight="1" x14ac:dyDescent="0.2">
      <c r="A42" s="73">
        <v>2230400019</v>
      </c>
      <c r="B42" s="28" t="s">
        <v>57</v>
      </c>
      <c r="C42" s="16">
        <v>1</v>
      </c>
      <c r="D42" s="16">
        <v>0</v>
      </c>
      <c r="E42" s="32">
        <v>1</v>
      </c>
      <c r="F42" s="32">
        <v>1</v>
      </c>
      <c r="G42" s="17">
        <v>1</v>
      </c>
      <c r="H42" s="15">
        <f t="shared" ref="H42:H64" si="2">SUM(C42:G42)</f>
        <v>4</v>
      </c>
      <c r="I42" s="26" t="s">
        <v>14</v>
      </c>
      <c r="J42" s="18">
        <v>20.8</v>
      </c>
      <c r="K42" s="74">
        <f>H42*J42</f>
        <v>83.2</v>
      </c>
    </row>
    <row r="43" spans="1:11" ht="17.25" customHeight="1" x14ac:dyDescent="0.2">
      <c r="A43" s="73">
        <v>2230400024</v>
      </c>
      <c r="B43" s="28" t="s">
        <v>58</v>
      </c>
      <c r="C43" s="16">
        <v>0.5</v>
      </c>
      <c r="D43" s="16">
        <v>0</v>
      </c>
      <c r="E43" s="32">
        <v>1</v>
      </c>
      <c r="F43" s="32">
        <v>0.5</v>
      </c>
      <c r="G43" s="17">
        <v>0</v>
      </c>
      <c r="H43" s="15">
        <f t="shared" si="2"/>
        <v>2</v>
      </c>
      <c r="I43" s="26" t="s">
        <v>14</v>
      </c>
      <c r="J43" s="18">
        <v>7.51</v>
      </c>
      <c r="K43" s="74">
        <f>H43*J43</f>
        <v>15.02</v>
      </c>
    </row>
    <row r="44" spans="1:11" ht="16" x14ac:dyDescent="0.2">
      <c r="A44" s="73">
        <v>2230450019</v>
      </c>
      <c r="B44" s="28" t="s">
        <v>59</v>
      </c>
      <c r="C44" s="16">
        <v>0</v>
      </c>
      <c r="D44" s="16">
        <v>0</v>
      </c>
      <c r="E44" s="32">
        <v>0</v>
      </c>
      <c r="F44" s="32">
        <v>0</v>
      </c>
      <c r="G44" s="17">
        <v>0</v>
      </c>
      <c r="H44" s="15">
        <f t="shared" si="2"/>
        <v>0</v>
      </c>
      <c r="I44" s="26" t="s">
        <v>14</v>
      </c>
      <c r="J44" s="18">
        <v>20.88</v>
      </c>
      <c r="K44" s="75">
        <f t="shared" ref="K44:K64" si="3">H44*J44</f>
        <v>0</v>
      </c>
    </row>
    <row r="45" spans="1:11" ht="16" x14ac:dyDescent="0.2">
      <c r="A45" s="73">
        <v>2230400098</v>
      </c>
      <c r="B45" s="28" t="s">
        <v>60</v>
      </c>
      <c r="C45" s="16">
        <v>0.5</v>
      </c>
      <c r="D45" s="16">
        <v>1</v>
      </c>
      <c r="E45" s="32">
        <v>1</v>
      </c>
      <c r="F45" s="32">
        <v>1</v>
      </c>
      <c r="G45" s="17">
        <v>1</v>
      </c>
      <c r="H45" s="15">
        <f t="shared" si="2"/>
        <v>4.5</v>
      </c>
      <c r="I45" s="26" t="s">
        <v>14</v>
      </c>
      <c r="J45" s="18">
        <v>9</v>
      </c>
      <c r="K45" s="75">
        <f>H45*J45</f>
        <v>40.5</v>
      </c>
    </row>
    <row r="46" spans="1:11" ht="16" x14ac:dyDescent="0.2">
      <c r="A46" s="73">
        <v>2230550008</v>
      </c>
      <c r="B46" s="19" t="s">
        <v>61</v>
      </c>
      <c r="C46" s="16">
        <v>1</v>
      </c>
      <c r="D46" s="16">
        <v>1</v>
      </c>
      <c r="E46" s="32">
        <v>1</v>
      </c>
      <c r="F46" s="32">
        <v>2</v>
      </c>
      <c r="G46" s="17">
        <v>1</v>
      </c>
      <c r="H46" s="15">
        <f t="shared" si="2"/>
        <v>6</v>
      </c>
      <c r="I46" s="26" t="s">
        <v>14</v>
      </c>
      <c r="J46" s="18">
        <v>18.43</v>
      </c>
      <c r="K46" s="74">
        <f t="shared" si="3"/>
        <v>110.58</v>
      </c>
    </row>
    <row r="47" spans="1:11" ht="16" x14ac:dyDescent="0.2">
      <c r="A47" s="73">
        <v>2230550016</v>
      </c>
      <c r="B47" s="19" t="s">
        <v>62</v>
      </c>
      <c r="C47" s="16">
        <v>0.5</v>
      </c>
      <c r="D47" s="16">
        <v>1</v>
      </c>
      <c r="E47" s="32">
        <v>2</v>
      </c>
      <c r="F47" s="32">
        <v>1</v>
      </c>
      <c r="G47" s="17">
        <v>1</v>
      </c>
      <c r="H47" s="15">
        <f t="shared" si="2"/>
        <v>5.5</v>
      </c>
      <c r="I47" s="96">
        <v>750</v>
      </c>
      <c r="J47" s="22">
        <v>40.79</v>
      </c>
      <c r="K47" s="74">
        <f t="shared" si="3"/>
        <v>224.345</v>
      </c>
    </row>
    <row r="48" spans="1:11" ht="16" x14ac:dyDescent="0.2">
      <c r="A48" s="73">
        <v>2230650122</v>
      </c>
      <c r="B48" s="19" t="s">
        <v>63</v>
      </c>
      <c r="C48" s="16">
        <v>1.5</v>
      </c>
      <c r="D48" s="16">
        <v>1</v>
      </c>
      <c r="E48" s="32">
        <v>3</v>
      </c>
      <c r="F48" s="32">
        <v>2</v>
      </c>
      <c r="G48" s="17">
        <v>1</v>
      </c>
      <c r="H48" s="15">
        <f t="shared" si="2"/>
        <v>8.5</v>
      </c>
      <c r="I48" s="97" t="s">
        <v>14</v>
      </c>
      <c r="J48" s="18">
        <v>28.94</v>
      </c>
      <c r="K48" s="74">
        <f t="shared" si="3"/>
        <v>245.99</v>
      </c>
    </row>
    <row r="49" spans="1:25" ht="16" x14ac:dyDescent="0.2">
      <c r="A49" s="73">
        <v>2230650203</v>
      </c>
      <c r="B49" s="19" t="s">
        <v>64</v>
      </c>
      <c r="C49" s="16">
        <v>1.5</v>
      </c>
      <c r="D49" s="16">
        <v>0</v>
      </c>
      <c r="E49" s="32">
        <v>5</v>
      </c>
      <c r="F49" s="32">
        <v>1.5</v>
      </c>
      <c r="G49" s="17">
        <v>1</v>
      </c>
      <c r="H49" s="15">
        <f t="shared" si="2"/>
        <v>9</v>
      </c>
      <c r="I49" s="97" t="s">
        <v>14</v>
      </c>
      <c r="J49" s="18">
        <v>12.75</v>
      </c>
      <c r="K49" s="74">
        <f t="shared" si="3"/>
        <v>114.75</v>
      </c>
    </row>
    <row r="50" spans="1:25" ht="16" x14ac:dyDescent="0.2">
      <c r="A50" s="73">
        <v>2230650420</v>
      </c>
      <c r="B50" s="19" t="s">
        <v>65</v>
      </c>
      <c r="C50" s="16">
        <v>0.5</v>
      </c>
      <c r="D50" s="16">
        <v>1</v>
      </c>
      <c r="E50" s="32">
        <v>3</v>
      </c>
      <c r="F50" s="32">
        <v>4</v>
      </c>
      <c r="G50" s="17">
        <v>1.5</v>
      </c>
      <c r="H50" s="15">
        <f t="shared" si="2"/>
        <v>10</v>
      </c>
      <c r="I50" s="97" t="s">
        <v>14</v>
      </c>
      <c r="J50" s="18">
        <v>13.75</v>
      </c>
      <c r="K50" s="74">
        <f t="shared" si="3"/>
        <v>137.5</v>
      </c>
    </row>
    <row r="51" spans="1:25" ht="16" x14ac:dyDescent="0.2">
      <c r="A51" s="73">
        <v>2230650628</v>
      </c>
      <c r="B51" s="19" t="s">
        <v>66</v>
      </c>
      <c r="C51" s="16">
        <v>1.5</v>
      </c>
      <c r="D51" s="16">
        <v>1</v>
      </c>
      <c r="E51" s="32">
        <v>2</v>
      </c>
      <c r="F51" s="32">
        <v>2</v>
      </c>
      <c r="G51" s="17">
        <v>1</v>
      </c>
      <c r="H51" s="15">
        <f t="shared" si="2"/>
        <v>7.5</v>
      </c>
      <c r="I51" s="97" t="s">
        <v>14</v>
      </c>
      <c r="J51" s="18">
        <v>13.75</v>
      </c>
      <c r="K51" s="74">
        <f t="shared" si="3"/>
        <v>103.125</v>
      </c>
    </row>
    <row r="52" spans="1:25" ht="16" x14ac:dyDescent="0.2">
      <c r="A52" s="73">
        <v>2230650629</v>
      </c>
      <c r="B52" s="19" t="s">
        <v>67</v>
      </c>
      <c r="C52" s="16">
        <v>1.75</v>
      </c>
      <c r="D52" s="16">
        <v>1</v>
      </c>
      <c r="E52" s="32">
        <v>8</v>
      </c>
      <c r="F52" s="32">
        <v>3</v>
      </c>
      <c r="G52" s="17">
        <v>1.5</v>
      </c>
      <c r="H52" s="15">
        <f t="shared" si="2"/>
        <v>15.25</v>
      </c>
      <c r="I52" s="97" t="s">
        <v>14</v>
      </c>
      <c r="J52" s="18">
        <v>13.75</v>
      </c>
      <c r="K52" s="74">
        <f t="shared" si="3"/>
        <v>209.6875</v>
      </c>
    </row>
    <row r="53" spans="1:25" ht="16" x14ac:dyDescent="0.2">
      <c r="A53" s="73">
        <v>2230650630</v>
      </c>
      <c r="B53" s="19" t="s">
        <v>68</v>
      </c>
      <c r="C53" s="16">
        <v>2</v>
      </c>
      <c r="D53" s="16">
        <v>1</v>
      </c>
      <c r="E53" s="32">
        <v>3</v>
      </c>
      <c r="F53" s="32">
        <v>3</v>
      </c>
      <c r="G53" s="17">
        <v>1</v>
      </c>
      <c r="H53" s="15">
        <f t="shared" si="2"/>
        <v>10</v>
      </c>
      <c r="I53" s="97" t="s">
        <v>14</v>
      </c>
      <c r="J53" s="18">
        <v>13.75</v>
      </c>
      <c r="K53" s="74">
        <f t="shared" si="3"/>
        <v>137.5</v>
      </c>
    </row>
    <row r="54" spans="1:25" ht="16" x14ac:dyDescent="0.2">
      <c r="A54" s="73">
        <v>2230650631</v>
      </c>
      <c r="B54" s="19" t="s">
        <v>69</v>
      </c>
      <c r="C54" s="16">
        <v>2.5</v>
      </c>
      <c r="D54" s="16">
        <v>1</v>
      </c>
      <c r="E54" s="32">
        <v>10</v>
      </c>
      <c r="F54" s="32">
        <v>2.5</v>
      </c>
      <c r="G54" s="17">
        <v>1</v>
      </c>
      <c r="H54" s="15">
        <f t="shared" si="2"/>
        <v>17</v>
      </c>
      <c r="I54" s="97" t="s">
        <v>14</v>
      </c>
      <c r="J54" s="18">
        <v>13.75</v>
      </c>
      <c r="K54" s="74">
        <f t="shared" si="3"/>
        <v>233.75</v>
      </c>
    </row>
    <row r="55" spans="1:25" ht="16" x14ac:dyDescent="0.2">
      <c r="A55" s="73">
        <v>2230650566</v>
      </c>
      <c r="B55" s="19" t="s">
        <v>70</v>
      </c>
      <c r="C55" s="16">
        <v>2</v>
      </c>
      <c r="D55" s="16">
        <v>1</v>
      </c>
      <c r="E55" s="32">
        <v>8</v>
      </c>
      <c r="F55" s="32">
        <v>2</v>
      </c>
      <c r="G55" s="17">
        <v>2</v>
      </c>
      <c r="H55" s="15">
        <f t="shared" si="2"/>
        <v>15</v>
      </c>
      <c r="I55" s="97" t="s">
        <v>14</v>
      </c>
      <c r="J55" s="18">
        <v>13.75</v>
      </c>
      <c r="K55" s="74">
        <f t="shared" si="3"/>
        <v>206.25</v>
      </c>
    </row>
    <row r="56" spans="1:25" x14ac:dyDescent="0.2">
      <c r="A56" s="73">
        <v>2230650567</v>
      </c>
      <c r="B56" s="15" t="s">
        <v>71</v>
      </c>
      <c r="C56" s="16">
        <v>0.5</v>
      </c>
      <c r="D56" s="16">
        <v>1</v>
      </c>
      <c r="E56" s="32">
        <v>5</v>
      </c>
      <c r="F56" s="32">
        <v>1</v>
      </c>
      <c r="G56" s="17">
        <v>1.5</v>
      </c>
      <c r="H56" s="15">
        <f t="shared" si="2"/>
        <v>9</v>
      </c>
      <c r="I56" s="97" t="s">
        <v>14</v>
      </c>
      <c r="J56" s="18">
        <v>13.75</v>
      </c>
      <c r="K56" s="74">
        <f t="shared" si="3"/>
        <v>123.75</v>
      </c>
    </row>
    <row r="57" spans="1:25" x14ac:dyDescent="0.2">
      <c r="A57" s="73">
        <v>2230700532</v>
      </c>
      <c r="B57" s="15" t="s">
        <v>72</v>
      </c>
      <c r="C57" s="16">
        <v>2</v>
      </c>
      <c r="D57" s="16">
        <v>0.5</v>
      </c>
      <c r="E57" s="32">
        <v>12</v>
      </c>
      <c r="F57" s="32">
        <v>1</v>
      </c>
      <c r="G57" s="17">
        <v>1</v>
      </c>
      <c r="H57" s="15">
        <f t="shared" si="2"/>
        <v>16.5</v>
      </c>
      <c r="I57" s="98">
        <v>750</v>
      </c>
      <c r="J57" s="22">
        <v>17.739999999999998</v>
      </c>
      <c r="K57" s="74">
        <f t="shared" si="3"/>
        <v>292.70999999999998</v>
      </c>
    </row>
    <row r="58" spans="1:25" x14ac:dyDescent="0.2">
      <c r="A58" s="73">
        <v>2230700633</v>
      </c>
      <c r="B58" s="15" t="s">
        <v>73</v>
      </c>
      <c r="C58" s="16">
        <v>2</v>
      </c>
      <c r="D58" s="16">
        <v>1</v>
      </c>
      <c r="E58" s="32">
        <v>3</v>
      </c>
      <c r="F58" s="32">
        <v>2</v>
      </c>
      <c r="G58" s="17">
        <v>0.5</v>
      </c>
      <c r="H58" s="15">
        <f t="shared" si="2"/>
        <v>8.5</v>
      </c>
      <c r="I58" s="26" t="s">
        <v>14</v>
      </c>
      <c r="J58" s="22">
        <v>18</v>
      </c>
      <c r="K58" s="74">
        <f t="shared" si="3"/>
        <v>153</v>
      </c>
    </row>
    <row r="59" spans="1:25" x14ac:dyDescent="0.2">
      <c r="A59" s="104">
        <v>2230700507</v>
      </c>
      <c r="B59" s="9" t="s">
        <v>74</v>
      </c>
      <c r="C59" s="10">
        <v>2.5</v>
      </c>
      <c r="D59" s="10">
        <v>0</v>
      </c>
      <c r="E59" s="209">
        <v>3</v>
      </c>
      <c r="F59" s="209">
        <v>1.5</v>
      </c>
      <c r="G59" s="16">
        <v>0</v>
      </c>
      <c r="H59" s="15">
        <f t="shared" si="2"/>
        <v>7</v>
      </c>
      <c r="I59" s="40" t="s">
        <v>14</v>
      </c>
      <c r="J59" s="23">
        <v>30.09</v>
      </c>
      <c r="K59" s="75">
        <f t="shared" si="3"/>
        <v>210.63</v>
      </c>
    </row>
    <row r="60" spans="1:25" ht="15.75" customHeight="1" x14ac:dyDescent="0.2">
      <c r="A60" s="73">
        <v>2230700143</v>
      </c>
      <c r="B60" s="15" t="s">
        <v>75</v>
      </c>
      <c r="C60" s="16">
        <v>1</v>
      </c>
      <c r="D60" s="16">
        <v>0.5</v>
      </c>
      <c r="E60" s="32">
        <v>0</v>
      </c>
      <c r="F60" s="32">
        <v>1</v>
      </c>
      <c r="G60" s="16">
        <v>1</v>
      </c>
      <c r="H60" s="9">
        <f t="shared" si="2"/>
        <v>3.5</v>
      </c>
      <c r="I60" s="26" t="s">
        <v>14</v>
      </c>
      <c r="J60" s="22">
        <v>30.09</v>
      </c>
      <c r="K60" s="74">
        <f t="shared" si="3"/>
        <v>105.315</v>
      </c>
      <c r="O60" s="168"/>
      <c r="P60" s="169"/>
      <c r="Q60" s="169"/>
      <c r="R60" s="170"/>
      <c r="S60" s="170"/>
      <c r="T60" s="171"/>
      <c r="U60" s="172"/>
      <c r="V60" s="173"/>
      <c r="W60" s="174"/>
      <c r="X60" s="170"/>
      <c r="Y60" s="169"/>
    </row>
    <row r="61" spans="1:25" x14ac:dyDescent="0.2">
      <c r="A61" s="73">
        <v>2230700666</v>
      </c>
      <c r="B61" s="15" t="s">
        <v>76</v>
      </c>
      <c r="C61" s="16">
        <v>1.5</v>
      </c>
      <c r="D61" s="16">
        <v>0</v>
      </c>
      <c r="E61" s="32">
        <v>3</v>
      </c>
      <c r="F61" s="32">
        <v>1.5</v>
      </c>
      <c r="G61" s="16">
        <v>0.5</v>
      </c>
      <c r="H61" s="9">
        <f t="shared" si="2"/>
        <v>6.5</v>
      </c>
      <c r="I61" s="96">
        <v>750</v>
      </c>
      <c r="J61" s="18">
        <v>23.19</v>
      </c>
      <c r="K61" s="74">
        <f t="shared" si="3"/>
        <v>150.73500000000001</v>
      </c>
    </row>
    <row r="62" spans="1:25" x14ac:dyDescent="0.2">
      <c r="A62" s="73">
        <v>2230700369</v>
      </c>
      <c r="B62" s="15" t="s">
        <v>77</v>
      </c>
      <c r="C62" s="16">
        <v>2.25</v>
      </c>
      <c r="D62" s="16">
        <v>0.5</v>
      </c>
      <c r="E62" s="32">
        <v>2</v>
      </c>
      <c r="F62" s="32">
        <v>0.5</v>
      </c>
      <c r="G62" s="16">
        <v>0.5</v>
      </c>
      <c r="H62" s="15">
        <f t="shared" si="2"/>
        <v>5.75</v>
      </c>
      <c r="I62" s="26" t="s">
        <v>14</v>
      </c>
      <c r="J62" s="18">
        <v>19.3</v>
      </c>
      <c r="K62" s="74">
        <f t="shared" si="3"/>
        <v>110.97500000000001</v>
      </c>
    </row>
    <row r="63" spans="1:25" x14ac:dyDescent="0.2">
      <c r="A63" s="73">
        <v>2230700462</v>
      </c>
      <c r="B63" s="15" t="s">
        <v>78</v>
      </c>
      <c r="C63" s="16">
        <v>1.25</v>
      </c>
      <c r="D63" s="16">
        <v>1</v>
      </c>
      <c r="E63" s="32">
        <v>3</v>
      </c>
      <c r="F63" s="32">
        <v>1</v>
      </c>
      <c r="G63" s="16">
        <v>0.5</v>
      </c>
      <c r="H63" s="9">
        <f t="shared" si="2"/>
        <v>6.75</v>
      </c>
      <c r="I63" s="26" t="s">
        <v>14</v>
      </c>
      <c r="J63" s="18">
        <v>36.75</v>
      </c>
      <c r="K63" s="74">
        <f t="shared" si="3"/>
        <v>248.0625</v>
      </c>
    </row>
    <row r="64" spans="1:25" x14ac:dyDescent="0.2">
      <c r="A64" s="73">
        <v>2230700401</v>
      </c>
      <c r="B64" s="15" t="s">
        <v>147</v>
      </c>
      <c r="C64" s="16">
        <v>1</v>
      </c>
      <c r="D64" s="16">
        <v>0.5</v>
      </c>
      <c r="E64" s="32">
        <v>5</v>
      </c>
      <c r="F64" s="32">
        <v>1</v>
      </c>
      <c r="G64" s="16">
        <v>0.5</v>
      </c>
      <c r="H64" s="9">
        <f t="shared" si="2"/>
        <v>8</v>
      </c>
      <c r="I64" s="26" t="s">
        <v>14</v>
      </c>
      <c r="J64" s="18">
        <v>39.19</v>
      </c>
      <c r="K64" s="74">
        <f t="shared" si="3"/>
        <v>313.52</v>
      </c>
    </row>
    <row r="65" spans="1:11" ht="16" x14ac:dyDescent="0.2">
      <c r="A65" s="73">
        <v>2230700516</v>
      </c>
      <c r="B65" s="19" t="s">
        <v>108</v>
      </c>
      <c r="C65" s="16">
        <v>1</v>
      </c>
      <c r="D65" s="16">
        <v>0.5</v>
      </c>
      <c r="E65" s="32">
        <v>2</v>
      </c>
      <c r="F65" s="32">
        <v>1.5</v>
      </c>
      <c r="G65" s="16">
        <v>0</v>
      </c>
      <c r="H65" s="15">
        <f>SUM(C65:G65)</f>
        <v>5</v>
      </c>
      <c r="I65" s="26" t="s">
        <v>14</v>
      </c>
      <c r="J65" s="22">
        <v>31.25</v>
      </c>
      <c r="K65" s="74">
        <f>H65*J65</f>
        <v>156.25</v>
      </c>
    </row>
    <row r="66" spans="1:11" x14ac:dyDescent="0.2">
      <c r="A66" s="73">
        <v>2230400785</v>
      </c>
      <c r="B66" s="15" t="s">
        <v>79</v>
      </c>
      <c r="C66" s="16">
        <v>1.5</v>
      </c>
      <c r="D66" s="16">
        <v>1</v>
      </c>
      <c r="E66" s="32">
        <v>10</v>
      </c>
      <c r="F66" s="32">
        <v>1.5</v>
      </c>
      <c r="G66" s="16">
        <v>1</v>
      </c>
      <c r="H66" s="9">
        <f t="shared" ref="H66" si="4">SUM(C66:G66)</f>
        <v>15</v>
      </c>
      <c r="I66" s="96">
        <v>750</v>
      </c>
      <c r="J66" s="22">
        <v>24.76</v>
      </c>
      <c r="K66" s="74">
        <f t="shared" ref="K66" si="5">H66*J66</f>
        <v>371.40000000000003</v>
      </c>
    </row>
    <row r="67" spans="1:11" hidden="1" x14ac:dyDescent="0.2"/>
    <row r="69" spans="1:11" ht="16" thickBot="1" x14ac:dyDescent="0.25">
      <c r="A69" s="175"/>
      <c r="B69" s="176" t="s">
        <v>0</v>
      </c>
      <c r="C69" s="177"/>
      <c r="D69" s="177"/>
      <c r="E69" s="177"/>
      <c r="F69" s="177"/>
      <c r="G69" s="177"/>
      <c r="H69" s="177"/>
      <c r="I69" s="178" t="s">
        <v>1</v>
      </c>
      <c r="J69" s="179">
        <v>45597</v>
      </c>
      <c r="K69" s="180"/>
    </row>
    <row r="70" spans="1:11" ht="33" thickBot="1" x14ac:dyDescent="0.25">
      <c r="A70" s="68" t="s">
        <v>2</v>
      </c>
      <c r="B70" s="61" t="s">
        <v>54</v>
      </c>
      <c r="C70" s="1" t="s">
        <v>4</v>
      </c>
      <c r="D70" s="2" t="s">
        <v>5</v>
      </c>
      <c r="E70" s="205" t="s">
        <v>6</v>
      </c>
      <c r="F70" s="221" t="s">
        <v>7</v>
      </c>
      <c r="G70" s="4" t="s">
        <v>8</v>
      </c>
      <c r="H70" s="5" t="s">
        <v>9</v>
      </c>
      <c r="I70" s="62" t="s">
        <v>10</v>
      </c>
      <c r="J70" s="63" t="s">
        <v>11</v>
      </c>
      <c r="K70" s="64" t="s">
        <v>12</v>
      </c>
    </row>
    <row r="71" spans="1:11" ht="12.75" customHeight="1" x14ac:dyDescent="0.2">
      <c r="A71" s="101" t="s">
        <v>80</v>
      </c>
      <c r="B71" s="15" t="s">
        <v>81</v>
      </c>
      <c r="C71" s="16">
        <v>0</v>
      </c>
      <c r="D71" s="16">
        <v>3</v>
      </c>
      <c r="E71" s="32">
        <v>0</v>
      </c>
      <c r="F71" s="32">
        <v>0</v>
      </c>
      <c r="G71" s="17">
        <v>1</v>
      </c>
      <c r="H71" s="12">
        <f t="shared" ref="H71:H72" si="6">SUM(C71:G71)</f>
        <v>4</v>
      </c>
      <c r="I71" s="96" t="s">
        <v>14</v>
      </c>
      <c r="J71" s="18">
        <v>9</v>
      </c>
      <c r="K71" s="74">
        <f>H71*J71</f>
        <v>36</v>
      </c>
    </row>
    <row r="72" spans="1:11" ht="16" x14ac:dyDescent="0.2">
      <c r="A72" s="73">
        <v>2230400373</v>
      </c>
      <c r="B72" s="19" t="s">
        <v>82</v>
      </c>
      <c r="C72" s="16">
        <v>1</v>
      </c>
      <c r="D72" s="16">
        <v>0</v>
      </c>
      <c r="E72" s="32">
        <v>0</v>
      </c>
      <c r="F72" s="32">
        <v>0</v>
      </c>
      <c r="G72" s="17">
        <v>0</v>
      </c>
      <c r="H72" s="81">
        <f t="shared" si="6"/>
        <v>1</v>
      </c>
      <c r="I72" s="96" t="s">
        <v>14</v>
      </c>
      <c r="J72" s="18">
        <v>9.32</v>
      </c>
      <c r="K72" s="74">
        <f>H72*J72</f>
        <v>9.32</v>
      </c>
    </row>
    <row r="73" spans="1:11" ht="16" x14ac:dyDescent="0.2">
      <c r="A73" s="104">
        <v>2230250006</v>
      </c>
      <c r="B73" s="41" t="s">
        <v>84</v>
      </c>
      <c r="C73" s="42"/>
      <c r="D73" s="42"/>
      <c r="E73" s="209">
        <v>18</v>
      </c>
      <c r="F73" s="222"/>
      <c r="G73" s="43"/>
      <c r="H73" s="12">
        <f t="shared" ref="H73:H101" si="7">SUM(E73)</f>
        <v>18</v>
      </c>
      <c r="I73" s="40" t="s">
        <v>85</v>
      </c>
      <c r="J73" s="23">
        <v>65.239999999999995</v>
      </c>
      <c r="K73" s="75">
        <f>H73*J73</f>
        <v>1174.32</v>
      </c>
    </row>
    <row r="74" spans="1:11" ht="16" x14ac:dyDescent="0.2">
      <c r="A74" s="104">
        <v>2230200006</v>
      </c>
      <c r="B74" s="41" t="s">
        <v>86</v>
      </c>
      <c r="C74" s="42"/>
      <c r="D74" s="42"/>
      <c r="E74" s="209">
        <v>16</v>
      </c>
      <c r="F74" s="222"/>
      <c r="G74" s="43"/>
      <c r="H74" s="81">
        <f t="shared" si="7"/>
        <v>16</v>
      </c>
      <c r="I74" s="40" t="s">
        <v>14</v>
      </c>
      <c r="J74" s="14">
        <v>6.53</v>
      </c>
      <c r="K74" s="75">
        <f>H74*J74</f>
        <v>104.48</v>
      </c>
    </row>
    <row r="75" spans="1:11" ht="16" x14ac:dyDescent="0.2">
      <c r="A75" s="73">
        <v>2230400037</v>
      </c>
      <c r="B75" s="19" t="s">
        <v>87</v>
      </c>
      <c r="C75" s="25"/>
      <c r="D75" s="25"/>
      <c r="E75" s="32">
        <v>6</v>
      </c>
      <c r="F75" s="213"/>
      <c r="G75" s="39"/>
      <c r="H75" s="81">
        <f t="shared" si="7"/>
        <v>6</v>
      </c>
      <c r="I75" s="26" t="s">
        <v>14</v>
      </c>
      <c r="J75" s="18">
        <v>2.79</v>
      </c>
      <c r="K75" s="74">
        <f t="shared" ref="K75:K101" si="8">H75*J75</f>
        <v>16.740000000000002</v>
      </c>
    </row>
    <row r="76" spans="1:11" ht="16" x14ac:dyDescent="0.2">
      <c r="A76" s="73">
        <v>2230400035</v>
      </c>
      <c r="B76" s="19" t="s">
        <v>88</v>
      </c>
      <c r="C76" s="25"/>
      <c r="D76" s="25"/>
      <c r="E76" s="32">
        <v>3</v>
      </c>
      <c r="F76" s="213"/>
      <c r="G76" s="39"/>
      <c r="H76" s="81">
        <f t="shared" si="7"/>
        <v>3</v>
      </c>
      <c r="I76" s="26" t="s">
        <v>14</v>
      </c>
      <c r="J76" s="18">
        <v>6.92</v>
      </c>
      <c r="K76" s="74">
        <f t="shared" si="8"/>
        <v>20.759999999999998</v>
      </c>
    </row>
    <row r="77" spans="1:11" ht="16" x14ac:dyDescent="0.2">
      <c r="A77" s="104">
        <v>2230450014</v>
      </c>
      <c r="B77" s="41" t="s">
        <v>89</v>
      </c>
      <c r="C77" s="42"/>
      <c r="D77" s="42"/>
      <c r="E77" s="209">
        <v>5</v>
      </c>
      <c r="F77" s="222"/>
      <c r="G77" s="43"/>
      <c r="H77" s="81">
        <f t="shared" si="7"/>
        <v>5</v>
      </c>
      <c r="I77" s="40" t="s">
        <v>14</v>
      </c>
      <c r="J77" s="23">
        <v>12.17</v>
      </c>
      <c r="K77" s="75">
        <f t="shared" si="8"/>
        <v>60.85</v>
      </c>
    </row>
    <row r="78" spans="1:11" ht="16" x14ac:dyDescent="0.2">
      <c r="A78" s="73">
        <v>2230350047</v>
      </c>
      <c r="B78" s="19" t="s">
        <v>90</v>
      </c>
      <c r="C78" s="25"/>
      <c r="D78" s="25"/>
      <c r="E78" s="32">
        <v>9</v>
      </c>
      <c r="F78" s="213"/>
      <c r="G78" s="39"/>
      <c r="H78" s="12">
        <f t="shared" si="7"/>
        <v>9</v>
      </c>
      <c r="I78" s="40" t="s">
        <v>85</v>
      </c>
      <c r="J78" s="18">
        <v>7.82</v>
      </c>
      <c r="K78" s="75">
        <f t="shared" si="8"/>
        <v>70.38</v>
      </c>
    </row>
    <row r="79" spans="1:11" ht="16" x14ac:dyDescent="0.2">
      <c r="A79" s="73">
        <v>2230350017</v>
      </c>
      <c r="B79" s="19" t="s">
        <v>91</v>
      </c>
      <c r="C79" s="25"/>
      <c r="D79" s="25"/>
      <c r="E79" s="32">
        <v>5</v>
      </c>
      <c r="F79" s="213"/>
      <c r="G79" s="39"/>
      <c r="H79" s="81">
        <f t="shared" si="7"/>
        <v>5</v>
      </c>
      <c r="I79" s="40" t="s">
        <v>85</v>
      </c>
      <c r="J79" s="22">
        <v>35.99</v>
      </c>
      <c r="K79" s="75">
        <f t="shared" si="8"/>
        <v>179.95000000000002</v>
      </c>
    </row>
    <row r="80" spans="1:11" ht="16" x14ac:dyDescent="0.2">
      <c r="A80" s="73">
        <v>2230400047</v>
      </c>
      <c r="B80" s="19" t="s">
        <v>92</v>
      </c>
      <c r="C80" s="25"/>
      <c r="D80" s="25"/>
      <c r="E80" s="32">
        <v>6</v>
      </c>
      <c r="F80" s="213"/>
      <c r="G80" s="39"/>
      <c r="H80" s="81">
        <f t="shared" si="7"/>
        <v>6</v>
      </c>
      <c r="I80" s="40" t="s">
        <v>85</v>
      </c>
      <c r="J80" s="22">
        <v>13.5</v>
      </c>
      <c r="K80" s="75">
        <f t="shared" si="8"/>
        <v>81</v>
      </c>
    </row>
    <row r="81" spans="1:20" ht="16" x14ac:dyDescent="0.2">
      <c r="A81" s="73">
        <v>2230450021</v>
      </c>
      <c r="B81" s="19" t="s">
        <v>93</v>
      </c>
      <c r="C81" s="25"/>
      <c r="D81" s="25"/>
      <c r="E81" s="32">
        <v>9</v>
      </c>
      <c r="F81" s="213"/>
      <c r="G81" s="39"/>
      <c r="H81" s="12">
        <f t="shared" si="7"/>
        <v>9</v>
      </c>
      <c r="I81" s="40" t="s">
        <v>85</v>
      </c>
      <c r="J81" s="18">
        <v>15.99</v>
      </c>
      <c r="K81" s="75">
        <f t="shared" si="8"/>
        <v>143.91</v>
      </c>
    </row>
    <row r="82" spans="1:20" ht="16" x14ac:dyDescent="0.2">
      <c r="A82" s="73">
        <v>2230450008</v>
      </c>
      <c r="B82" s="19" t="s">
        <v>93</v>
      </c>
      <c r="C82" s="25"/>
      <c r="D82" s="25"/>
      <c r="E82" s="32"/>
      <c r="F82" s="213"/>
      <c r="G82" s="39"/>
      <c r="H82" s="12">
        <f t="shared" si="7"/>
        <v>0</v>
      </c>
      <c r="I82" s="26" t="s">
        <v>14</v>
      </c>
      <c r="J82" s="18">
        <v>16.5</v>
      </c>
      <c r="K82" s="74">
        <f t="shared" si="8"/>
        <v>0</v>
      </c>
    </row>
    <row r="83" spans="1:20" ht="16" x14ac:dyDescent="0.2">
      <c r="A83" s="73">
        <v>2230450034</v>
      </c>
      <c r="B83" s="19" t="s">
        <v>94</v>
      </c>
      <c r="C83" s="25"/>
      <c r="D83" s="25"/>
      <c r="E83" s="32">
        <v>12</v>
      </c>
      <c r="F83" s="213"/>
      <c r="G83" s="39"/>
      <c r="H83" s="81">
        <f t="shared" si="7"/>
        <v>12</v>
      </c>
      <c r="I83" s="40" t="s">
        <v>85</v>
      </c>
      <c r="J83" s="18">
        <v>9</v>
      </c>
      <c r="K83" s="75">
        <f t="shared" si="8"/>
        <v>108</v>
      </c>
    </row>
    <row r="84" spans="1:20" ht="16" x14ac:dyDescent="0.2">
      <c r="A84" s="73">
        <v>2230450017</v>
      </c>
      <c r="B84" s="19" t="s">
        <v>95</v>
      </c>
      <c r="C84" s="25"/>
      <c r="D84" s="25"/>
      <c r="E84" s="32">
        <v>8</v>
      </c>
      <c r="F84" s="213"/>
      <c r="G84" s="39"/>
      <c r="H84" s="81">
        <f t="shared" si="7"/>
        <v>8</v>
      </c>
      <c r="I84" s="40" t="s">
        <v>85</v>
      </c>
      <c r="J84" s="18">
        <v>18.39</v>
      </c>
      <c r="K84" s="75">
        <f t="shared" si="8"/>
        <v>147.12</v>
      </c>
    </row>
    <row r="85" spans="1:20" ht="16" x14ac:dyDescent="0.2">
      <c r="A85" s="73">
        <v>2230450030</v>
      </c>
      <c r="B85" s="19" t="s">
        <v>96</v>
      </c>
      <c r="C85" s="25"/>
      <c r="D85" s="25"/>
      <c r="E85" s="32">
        <v>17</v>
      </c>
      <c r="F85" s="213"/>
      <c r="G85" s="39"/>
      <c r="H85" s="81">
        <f t="shared" si="7"/>
        <v>17</v>
      </c>
      <c r="I85" s="26" t="s">
        <v>85</v>
      </c>
      <c r="J85" s="18">
        <v>19.190000000000001</v>
      </c>
      <c r="K85" s="74">
        <f>H85*J85</f>
        <v>326.23</v>
      </c>
      <c r="R85" s="228"/>
      <c r="S85" s="229"/>
      <c r="T85" s="230"/>
    </row>
    <row r="86" spans="1:20" ht="16" x14ac:dyDescent="0.2">
      <c r="A86" s="104">
        <v>2230450009</v>
      </c>
      <c r="B86" s="19" t="s">
        <v>96</v>
      </c>
      <c r="C86" s="42"/>
      <c r="D86" s="42"/>
      <c r="E86" s="209"/>
      <c r="F86" s="222"/>
      <c r="G86" s="43"/>
      <c r="H86" s="81">
        <f t="shared" si="7"/>
        <v>0</v>
      </c>
      <c r="I86" s="40" t="s">
        <v>14</v>
      </c>
      <c r="J86" s="14">
        <v>15.56</v>
      </c>
      <c r="K86" s="74">
        <f>H86*J86</f>
        <v>0</v>
      </c>
      <c r="Q86" s="12">
        <v>1</v>
      </c>
      <c r="R86" s="40" t="s">
        <v>85</v>
      </c>
      <c r="S86" s="23">
        <v>39.99</v>
      </c>
      <c r="T86" s="75"/>
    </row>
    <row r="87" spans="1:20" ht="13.5" customHeight="1" x14ac:dyDescent="0.2">
      <c r="A87" s="104">
        <v>2230500038</v>
      </c>
      <c r="B87" s="41" t="s">
        <v>97</v>
      </c>
      <c r="C87" s="42"/>
      <c r="D87" s="42"/>
      <c r="E87" s="209">
        <v>0</v>
      </c>
      <c r="F87" s="222"/>
      <c r="G87" s="43"/>
      <c r="H87" s="81">
        <f t="shared" si="7"/>
        <v>0</v>
      </c>
      <c r="I87" s="40" t="s">
        <v>85</v>
      </c>
      <c r="J87" s="14">
        <v>13.59</v>
      </c>
      <c r="K87" s="75">
        <f t="shared" si="8"/>
        <v>0</v>
      </c>
    </row>
    <row r="88" spans="1:20" ht="16" x14ac:dyDescent="0.2">
      <c r="A88" s="73">
        <v>2230550024</v>
      </c>
      <c r="B88" s="19" t="s">
        <v>98</v>
      </c>
      <c r="C88" s="25"/>
      <c r="D88" s="25"/>
      <c r="E88" s="32">
        <v>32</v>
      </c>
      <c r="F88" s="213"/>
      <c r="G88" s="39"/>
      <c r="H88" s="81">
        <f t="shared" si="7"/>
        <v>32</v>
      </c>
      <c r="I88" s="40" t="s">
        <v>85</v>
      </c>
      <c r="J88" s="18">
        <v>16</v>
      </c>
      <c r="K88" s="75">
        <f t="shared" si="8"/>
        <v>512</v>
      </c>
    </row>
    <row r="89" spans="1:20" ht="16" x14ac:dyDescent="0.2">
      <c r="A89" s="199">
        <v>2230550024</v>
      </c>
      <c r="B89" s="200" t="s">
        <v>98</v>
      </c>
      <c r="C89" s="358"/>
      <c r="D89" s="359"/>
      <c r="E89" s="359"/>
      <c r="F89" s="359"/>
      <c r="G89" s="360"/>
      <c r="H89" s="201">
        <v>120</v>
      </c>
      <c r="I89" s="202" t="s">
        <v>85</v>
      </c>
      <c r="J89" s="203">
        <v>16</v>
      </c>
      <c r="K89" s="204">
        <f t="shared" ref="K89" si="9">H89*J89</f>
        <v>1920</v>
      </c>
    </row>
    <row r="90" spans="1:20" ht="16" x14ac:dyDescent="0.2">
      <c r="A90" s="105">
        <v>2230550182</v>
      </c>
      <c r="B90" s="19" t="s">
        <v>99</v>
      </c>
      <c r="C90" s="25"/>
      <c r="D90" s="25"/>
      <c r="E90" s="32">
        <v>4</v>
      </c>
      <c r="F90" s="213"/>
      <c r="G90" s="39"/>
      <c r="H90" s="81">
        <f t="shared" si="7"/>
        <v>4</v>
      </c>
      <c r="I90" s="40" t="s">
        <v>100</v>
      </c>
      <c r="J90" s="22">
        <v>71.989999999999995</v>
      </c>
      <c r="K90" s="75">
        <f t="shared" si="8"/>
        <v>287.95999999999998</v>
      </c>
    </row>
    <row r="91" spans="1:20" ht="16" x14ac:dyDescent="0.2">
      <c r="A91" s="73">
        <v>2230650123</v>
      </c>
      <c r="B91" s="19" t="s">
        <v>101</v>
      </c>
      <c r="C91" s="25"/>
      <c r="D91" s="25"/>
      <c r="E91" s="32">
        <v>4</v>
      </c>
      <c r="F91" s="213"/>
      <c r="G91" s="39"/>
      <c r="H91" s="81">
        <f t="shared" si="7"/>
        <v>4</v>
      </c>
      <c r="I91" s="40" t="s">
        <v>85</v>
      </c>
      <c r="J91" s="22">
        <v>39.74</v>
      </c>
      <c r="K91" s="75">
        <f t="shared" si="8"/>
        <v>158.96</v>
      </c>
    </row>
    <row r="92" spans="1:20" ht="17" thickBot="1" x14ac:dyDescent="0.25">
      <c r="A92" s="73">
        <v>2230650224</v>
      </c>
      <c r="B92" s="19" t="s">
        <v>141</v>
      </c>
      <c r="C92" s="25"/>
      <c r="D92" s="25"/>
      <c r="E92" s="32"/>
      <c r="F92" s="213"/>
      <c r="G92" s="39"/>
      <c r="H92" s="81">
        <f t="shared" si="7"/>
        <v>0</v>
      </c>
      <c r="I92" s="26" t="s">
        <v>14</v>
      </c>
      <c r="J92" s="22">
        <v>4.78</v>
      </c>
      <c r="K92" s="74">
        <f t="shared" si="8"/>
        <v>0</v>
      </c>
    </row>
    <row r="93" spans="1:20" ht="16" x14ac:dyDescent="0.2">
      <c r="A93" s="73">
        <v>2230650147</v>
      </c>
      <c r="B93" s="19" t="s">
        <v>102</v>
      </c>
      <c r="C93" s="25"/>
      <c r="D93" s="25"/>
      <c r="E93" s="32">
        <v>51</v>
      </c>
      <c r="F93" s="213"/>
      <c r="G93" s="39"/>
      <c r="H93" s="30">
        <f t="shared" si="7"/>
        <v>51</v>
      </c>
      <c r="I93" s="40" t="s">
        <v>85</v>
      </c>
      <c r="J93" s="22">
        <v>7.99</v>
      </c>
      <c r="K93" s="74">
        <f t="shared" si="8"/>
        <v>407.49</v>
      </c>
    </row>
    <row r="94" spans="1:20" ht="16" x14ac:dyDescent="0.2">
      <c r="A94" s="73">
        <v>2230650394</v>
      </c>
      <c r="B94" s="19" t="s">
        <v>102</v>
      </c>
      <c r="C94" s="25"/>
      <c r="D94" s="25"/>
      <c r="E94" s="32"/>
      <c r="F94" s="213"/>
      <c r="G94" s="39"/>
      <c r="H94" s="81">
        <v>1</v>
      </c>
      <c r="I94" s="26" t="s">
        <v>14</v>
      </c>
      <c r="J94" s="18">
        <v>4.3</v>
      </c>
      <c r="K94" s="74">
        <f t="shared" si="8"/>
        <v>4.3</v>
      </c>
    </row>
    <row r="95" spans="1:20" ht="16" x14ac:dyDescent="0.2">
      <c r="A95" s="73">
        <v>2230650248</v>
      </c>
      <c r="B95" s="19" t="s">
        <v>103</v>
      </c>
      <c r="C95" s="25"/>
      <c r="D95" s="25"/>
      <c r="E95" s="32"/>
      <c r="F95" s="213"/>
      <c r="G95" s="39"/>
      <c r="H95" s="81">
        <f t="shared" si="7"/>
        <v>0</v>
      </c>
      <c r="I95" s="40" t="s">
        <v>85</v>
      </c>
      <c r="J95" s="22">
        <v>8.7899999999999991</v>
      </c>
      <c r="K95" s="106">
        <f t="shared" si="8"/>
        <v>0</v>
      </c>
    </row>
    <row r="96" spans="1:20" ht="16" x14ac:dyDescent="0.2">
      <c r="A96" s="73">
        <v>2230650126</v>
      </c>
      <c r="B96" s="19" t="s">
        <v>103</v>
      </c>
      <c r="C96" s="25"/>
      <c r="D96" s="25"/>
      <c r="E96" s="32"/>
      <c r="F96" s="213"/>
      <c r="G96" s="39"/>
      <c r="H96" s="81">
        <f t="shared" si="7"/>
        <v>0</v>
      </c>
      <c r="I96" s="40" t="s">
        <v>14</v>
      </c>
      <c r="J96" s="22">
        <v>4.3</v>
      </c>
      <c r="K96" s="106">
        <f t="shared" si="8"/>
        <v>0</v>
      </c>
    </row>
    <row r="97" spans="1:12" ht="16" x14ac:dyDescent="0.2">
      <c r="A97" s="73">
        <v>2230700299</v>
      </c>
      <c r="B97" s="19" t="s">
        <v>106</v>
      </c>
      <c r="C97" s="25"/>
      <c r="D97" s="25"/>
      <c r="E97" s="32">
        <v>23</v>
      </c>
      <c r="F97" s="213"/>
      <c r="G97" s="39"/>
      <c r="H97" s="81">
        <f t="shared" ref="H97" si="10">SUM(E97)</f>
        <v>23</v>
      </c>
      <c r="I97" s="40" t="s">
        <v>85</v>
      </c>
      <c r="J97" s="18">
        <v>45.99</v>
      </c>
      <c r="K97" s="74">
        <f t="shared" ref="K97" si="11">H97*J97</f>
        <v>1057.77</v>
      </c>
    </row>
    <row r="98" spans="1:12" ht="16" x14ac:dyDescent="0.2">
      <c r="A98" s="199">
        <v>2230700299</v>
      </c>
      <c r="B98" s="200" t="s">
        <v>106</v>
      </c>
      <c r="C98" s="358"/>
      <c r="D98" s="361"/>
      <c r="E98" s="361"/>
      <c r="F98" s="361"/>
      <c r="G98" s="362"/>
      <c r="H98" s="201">
        <v>180</v>
      </c>
      <c r="I98" s="202" t="s">
        <v>85</v>
      </c>
      <c r="J98" s="203">
        <v>39.99</v>
      </c>
      <c r="K98" s="227">
        <f t="shared" ref="K98" si="12">H98*J98</f>
        <v>7198.2000000000007</v>
      </c>
      <c r="L98" t="s">
        <v>148</v>
      </c>
    </row>
    <row r="99" spans="1:12" ht="16" x14ac:dyDescent="0.2">
      <c r="A99" s="73">
        <v>2230700698</v>
      </c>
      <c r="B99" s="19" t="s">
        <v>107</v>
      </c>
      <c r="C99" s="25"/>
      <c r="D99" s="25"/>
      <c r="E99" s="32">
        <v>5</v>
      </c>
      <c r="F99" s="213"/>
      <c r="G99" s="39"/>
      <c r="H99" s="81">
        <f t="shared" si="7"/>
        <v>5</v>
      </c>
      <c r="I99" s="40" t="s">
        <v>85</v>
      </c>
      <c r="J99" s="18">
        <v>29.59</v>
      </c>
      <c r="K99" s="74">
        <f t="shared" si="8"/>
        <v>147.94999999999999</v>
      </c>
    </row>
    <row r="100" spans="1:12" ht="16" x14ac:dyDescent="0.2">
      <c r="A100" s="73">
        <v>2230650216</v>
      </c>
      <c r="B100" s="19" t="s">
        <v>104</v>
      </c>
      <c r="C100" s="25"/>
      <c r="D100" s="25"/>
      <c r="E100" s="32">
        <v>14</v>
      </c>
      <c r="F100" s="213"/>
      <c r="G100" s="39"/>
      <c r="H100" s="12">
        <f t="shared" si="7"/>
        <v>14</v>
      </c>
      <c r="I100" s="40" t="s">
        <v>85</v>
      </c>
      <c r="J100" s="18">
        <v>27.99</v>
      </c>
      <c r="K100" s="74">
        <f t="shared" si="8"/>
        <v>391.85999999999996</v>
      </c>
    </row>
    <row r="101" spans="1:12" ht="17.25" customHeight="1" x14ac:dyDescent="0.2">
      <c r="A101" s="73">
        <v>2230700700</v>
      </c>
      <c r="B101" s="19" t="s">
        <v>105</v>
      </c>
      <c r="C101" s="25"/>
      <c r="D101" s="25"/>
      <c r="E101" s="32">
        <v>14</v>
      </c>
      <c r="F101" s="213"/>
      <c r="G101" s="39"/>
      <c r="H101" s="81">
        <f t="shared" si="7"/>
        <v>14</v>
      </c>
      <c r="I101" s="40" t="s">
        <v>85</v>
      </c>
      <c r="J101" s="22">
        <v>42.39</v>
      </c>
      <c r="K101" s="74">
        <f t="shared" si="8"/>
        <v>593.46</v>
      </c>
    </row>
    <row r="102" spans="1:12" ht="16" thickBot="1" x14ac:dyDescent="0.25"/>
    <row r="103" spans="1:12" ht="33" thickBot="1" x14ac:dyDescent="0.25">
      <c r="A103" s="67" t="s">
        <v>2</v>
      </c>
      <c r="B103" s="7" t="s">
        <v>83</v>
      </c>
      <c r="C103" s="35" t="s">
        <v>4</v>
      </c>
      <c r="D103" s="36" t="s">
        <v>5</v>
      </c>
      <c r="E103" s="205" t="s">
        <v>6</v>
      </c>
      <c r="F103" s="223" t="s">
        <v>7</v>
      </c>
      <c r="G103" s="38" t="s">
        <v>8</v>
      </c>
      <c r="H103" s="5" t="s">
        <v>9</v>
      </c>
      <c r="I103" s="6" t="s">
        <v>10</v>
      </c>
      <c r="J103" s="7" t="s">
        <v>11</v>
      </c>
      <c r="K103" s="8" t="s">
        <v>12</v>
      </c>
    </row>
    <row r="104" spans="1:12" ht="17.25" customHeight="1" x14ac:dyDescent="0.2">
      <c r="A104" s="73">
        <v>2230700016</v>
      </c>
      <c r="B104" s="19" t="s">
        <v>145</v>
      </c>
      <c r="C104" s="25"/>
      <c r="D104" s="25"/>
      <c r="E104" s="32">
        <v>2</v>
      </c>
      <c r="F104" s="213"/>
      <c r="G104" s="39"/>
      <c r="H104" s="81">
        <f>SUM(E104)</f>
        <v>2</v>
      </c>
      <c r="I104" s="26" t="s">
        <v>85</v>
      </c>
      <c r="J104" s="18">
        <v>17.59</v>
      </c>
      <c r="K104" s="74">
        <f>H104*J104</f>
        <v>35.18</v>
      </c>
    </row>
    <row r="105" spans="1:12" x14ac:dyDescent="0.2">
      <c r="A105" s="73"/>
      <c r="B105" s="19"/>
      <c r="C105" s="25"/>
      <c r="D105" s="25"/>
      <c r="E105" s="32"/>
      <c r="F105" s="213"/>
      <c r="G105" s="39"/>
      <c r="H105" s="81"/>
      <c r="I105" s="26"/>
      <c r="J105" s="22"/>
      <c r="K105" s="74"/>
    </row>
    <row r="106" spans="1:12" ht="16" x14ac:dyDescent="0.2">
      <c r="A106" s="73">
        <v>2230700480</v>
      </c>
      <c r="B106" s="19" t="s">
        <v>109</v>
      </c>
      <c r="C106" s="25"/>
      <c r="D106" s="25"/>
      <c r="E106" s="32">
        <v>20</v>
      </c>
      <c r="F106" s="213"/>
      <c r="G106" s="39"/>
      <c r="H106" s="81">
        <f>SUM(E106)</f>
        <v>20</v>
      </c>
      <c r="I106" s="26" t="s">
        <v>85</v>
      </c>
      <c r="J106" s="22">
        <v>11.49</v>
      </c>
      <c r="K106" s="74">
        <f>H106*J106</f>
        <v>229.8</v>
      </c>
    </row>
    <row r="107" spans="1:12" ht="16" x14ac:dyDescent="0.2">
      <c r="A107" s="107">
        <v>2230400763</v>
      </c>
      <c r="B107" s="19" t="s">
        <v>110</v>
      </c>
      <c r="C107" s="25"/>
      <c r="D107" s="25"/>
      <c r="E107" s="32">
        <v>3</v>
      </c>
      <c r="F107" s="213"/>
      <c r="G107" s="25"/>
      <c r="H107" s="12">
        <f>SUM(E107)</f>
        <v>3</v>
      </c>
      <c r="I107" s="31" t="s">
        <v>14</v>
      </c>
      <c r="J107" s="18">
        <f>116.95/12</f>
        <v>9.7458333333333336</v>
      </c>
      <c r="K107" s="74">
        <f>H107*J107</f>
        <v>29.237500000000001</v>
      </c>
    </row>
    <row r="108" spans="1:12" ht="17" thickBot="1" x14ac:dyDescent="0.25">
      <c r="A108" s="108">
        <v>2230700056</v>
      </c>
      <c r="B108" s="102" t="s">
        <v>142</v>
      </c>
      <c r="C108" s="109"/>
      <c r="D108" s="109"/>
      <c r="E108" s="210">
        <v>19</v>
      </c>
      <c r="F108" s="224"/>
      <c r="G108" s="109"/>
      <c r="H108" s="100">
        <f>SUM(E108)</f>
        <v>19</v>
      </c>
      <c r="I108" s="65" t="s">
        <v>85</v>
      </c>
      <c r="J108" s="164">
        <v>45.01</v>
      </c>
      <c r="K108" s="78">
        <f>H108*J108</f>
        <v>855.18999999999994</v>
      </c>
    </row>
    <row r="109" spans="1:12" ht="16" x14ac:dyDescent="0.2">
      <c r="A109" s="79"/>
      <c r="B109" s="33"/>
      <c r="C109" s="33"/>
      <c r="D109" s="33"/>
      <c r="E109" s="79"/>
      <c r="F109" s="79"/>
      <c r="G109" s="33"/>
      <c r="H109" s="44" t="s">
        <v>111</v>
      </c>
      <c r="J109" s="127"/>
      <c r="K109" s="128">
        <f>SUM(K3:K40,K41:K72,K73:K107)</f>
        <v>23718.774999999998</v>
      </c>
    </row>
    <row r="110" spans="1:12" ht="16" thickBot="1" x14ac:dyDescent="0.25"/>
    <row r="111" spans="1:12" ht="33" thickBot="1" x14ac:dyDescent="0.25">
      <c r="A111" s="67" t="s">
        <v>2</v>
      </c>
      <c r="B111" s="45" t="s">
        <v>112</v>
      </c>
      <c r="C111" s="1" t="s">
        <v>4</v>
      </c>
      <c r="D111" s="2" t="s">
        <v>5</v>
      </c>
      <c r="E111" s="211" t="s">
        <v>6</v>
      </c>
      <c r="F111" s="221" t="s">
        <v>7</v>
      </c>
      <c r="G111" s="46" t="s">
        <v>8</v>
      </c>
      <c r="H111" s="47" t="s">
        <v>9</v>
      </c>
      <c r="I111" s="48" t="s">
        <v>10</v>
      </c>
      <c r="J111" s="7" t="s">
        <v>113</v>
      </c>
      <c r="K111" s="8" t="s">
        <v>12</v>
      </c>
    </row>
    <row r="112" spans="1:12" ht="16" x14ac:dyDescent="0.2">
      <c r="A112" s="150">
        <v>2210100007</v>
      </c>
      <c r="B112" s="181" t="s">
        <v>114</v>
      </c>
      <c r="C112" s="70">
        <v>82</v>
      </c>
      <c r="D112" s="70">
        <v>18</v>
      </c>
      <c r="E112" s="212"/>
      <c r="F112" s="206">
        <v>21</v>
      </c>
      <c r="G112" s="70">
        <v>20</v>
      </c>
      <c r="H112" s="72">
        <f>SUM(C112:D112,F112:G112)/24</f>
        <v>5.875</v>
      </c>
      <c r="I112" s="182" t="s">
        <v>42</v>
      </c>
      <c r="J112" s="155">
        <v>25.5</v>
      </c>
      <c r="K112" s="156">
        <f>H112*J112</f>
        <v>149.8125</v>
      </c>
    </row>
    <row r="113" spans="1:11" ht="16" x14ac:dyDescent="0.2">
      <c r="A113" s="112">
        <v>2210100009</v>
      </c>
      <c r="B113" s="83" t="s">
        <v>115</v>
      </c>
      <c r="C113" s="16">
        <v>92</v>
      </c>
      <c r="D113" s="16">
        <v>17</v>
      </c>
      <c r="E113" s="213"/>
      <c r="F113" s="32">
        <v>106</v>
      </c>
      <c r="G113" s="16">
        <v>20</v>
      </c>
      <c r="H113" s="9">
        <f t="shared" ref="H113:H132" si="13">SUM(C113:D113,F113:G113)/24</f>
        <v>9.7916666666666661</v>
      </c>
      <c r="I113" s="133" t="s">
        <v>42</v>
      </c>
      <c r="J113" s="50">
        <v>25.5</v>
      </c>
      <c r="K113" s="113">
        <f>H113*J113</f>
        <v>249.68749999999997</v>
      </c>
    </row>
    <row r="114" spans="1:11" ht="16" x14ac:dyDescent="0.2">
      <c r="A114" s="112">
        <v>2210100021</v>
      </c>
      <c r="B114" s="83" t="s">
        <v>116</v>
      </c>
      <c r="C114" s="16">
        <v>117</v>
      </c>
      <c r="D114" s="16">
        <v>17</v>
      </c>
      <c r="E114" s="213"/>
      <c r="F114" s="32">
        <v>100</v>
      </c>
      <c r="G114" s="16">
        <v>11</v>
      </c>
      <c r="H114" s="9">
        <f t="shared" si="13"/>
        <v>10.208333333333334</v>
      </c>
      <c r="I114" s="133" t="s">
        <v>42</v>
      </c>
      <c r="J114" s="50">
        <v>31.1</v>
      </c>
      <c r="K114" s="113">
        <f>H114*J114</f>
        <v>317.47916666666669</v>
      </c>
    </row>
    <row r="115" spans="1:11" ht="16" x14ac:dyDescent="0.2">
      <c r="A115" s="112">
        <v>2210100141</v>
      </c>
      <c r="B115" s="83" t="s">
        <v>117</v>
      </c>
      <c r="C115" s="16">
        <v>7</v>
      </c>
      <c r="D115" s="16">
        <v>5</v>
      </c>
      <c r="E115" s="213"/>
      <c r="F115" s="32">
        <v>7</v>
      </c>
      <c r="G115" s="16">
        <v>4</v>
      </c>
      <c r="H115" s="9">
        <f t="shared" si="13"/>
        <v>0.95833333333333337</v>
      </c>
      <c r="I115" s="133" t="s">
        <v>42</v>
      </c>
      <c r="J115" s="50">
        <v>29.2</v>
      </c>
      <c r="K115" s="113">
        <f>H115*J115</f>
        <v>27.983333333333334</v>
      </c>
    </row>
    <row r="116" spans="1:11" ht="16" x14ac:dyDescent="0.2">
      <c r="A116" s="112">
        <v>2210100268</v>
      </c>
      <c r="B116" s="83" t="s">
        <v>118</v>
      </c>
      <c r="C116" s="16">
        <v>54</v>
      </c>
      <c r="D116" s="16">
        <v>8</v>
      </c>
      <c r="E116" s="214"/>
      <c r="F116" s="32">
        <v>24</v>
      </c>
      <c r="G116" s="17">
        <v>10</v>
      </c>
      <c r="H116" s="9">
        <f t="shared" si="13"/>
        <v>4</v>
      </c>
      <c r="I116" s="134" t="s">
        <v>42</v>
      </c>
      <c r="J116" s="50">
        <v>25.05</v>
      </c>
      <c r="K116" s="111">
        <f t="shared" ref="K116" si="14">H116*J116</f>
        <v>100.2</v>
      </c>
    </row>
    <row r="117" spans="1:11" ht="16" x14ac:dyDescent="0.2">
      <c r="A117" s="112">
        <v>2210150006</v>
      </c>
      <c r="B117" s="83" t="s">
        <v>119</v>
      </c>
      <c r="C117" s="16">
        <v>69</v>
      </c>
      <c r="D117" s="16">
        <v>26</v>
      </c>
      <c r="E117" s="213"/>
      <c r="F117" s="32">
        <v>26</v>
      </c>
      <c r="G117" s="16">
        <v>12</v>
      </c>
      <c r="H117" s="9">
        <f t="shared" si="13"/>
        <v>5.541666666666667</v>
      </c>
      <c r="I117" s="133" t="s">
        <v>42</v>
      </c>
      <c r="J117" s="50">
        <v>29.8</v>
      </c>
      <c r="K117" s="113">
        <f>H117*J117</f>
        <v>165.14166666666668</v>
      </c>
    </row>
    <row r="118" spans="1:11" ht="16" x14ac:dyDescent="0.2">
      <c r="A118" s="112">
        <v>2210150029</v>
      </c>
      <c r="B118" s="83" t="s">
        <v>120</v>
      </c>
      <c r="C118" s="16">
        <v>14</v>
      </c>
      <c r="D118" s="16">
        <v>21</v>
      </c>
      <c r="E118" s="214"/>
      <c r="F118" s="32">
        <v>16</v>
      </c>
      <c r="G118" s="17">
        <v>7</v>
      </c>
      <c r="H118" s="9">
        <f t="shared" si="13"/>
        <v>2.4166666666666665</v>
      </c>
      <c r="I118" s="134" t="s">
        <v>42</v>
      </c>
      <c r="J118" s="50">
        <v>29.8</v>
      </c>
      <c r="K118" s="111">
        <f t="shared" ref="K118" si="15">H118*J118</f>
        <v>72.016666666666666</v>
      </c>
    </row>
    <row r="119" spans="1:11" ht="16" x14ac:dyDescent="0.2">
      <c r="A119" s="112">
        <v>2210150264</v>
      </c>
      <c r="B119" s="84" t="s">
        <v>144</v>
      </c>
      <c r="C119" s="16">
        <v>34</v>
      </c>
      <c r="D119" s="16">
        <v>7</v>
      </c>
      <c r="E119" s="214"/>
      <c r="F119" s="32">
        <v>14</v>
      </c>
      <c r="G119" s="17">
        <v>11</v>
      </c>
      <c r="H119" s="9">
        <f t="shared" si="13"/>
        <v>2.75</v>
      </c>
      <c r="I119" s="134" t="s">
        <v>42</v>
      </c>
      <c r="J119" s="50">
        <v>29.86</v>
      </c>
      <c r="K119" s="111">
        <f>H119*J119</f>
        <v>82.114999999999995</v>
      </c>
    </row>
    <row r="120" spans="1:11" ht="16" x14ac:dyDescent="0.2">
      <c r="A120" s="112">
        <v>2230310104</v>
      </c>
      <c r="B120" s="84" t="s">
        <v>121</v>
      </c>
      <c r="C120" s="16">
        <v>10</v>
      </c>
      <c r="D120" s="16">
        <v>5</v>
      </c>
      <c r="E120" s="214"/>
      <c r="F120" s="32">
        <v>9</v>
      </c>
      <c r="G120" s="17">
        <v>7</v>
      </c>
      <c r="H120" s="9">
        <f t="shared" si="13"/>
        <v>1.2916666666666667</v>
      </c>
      <c r="I120" s="134" t="s">
        <v>42</v>
      </c>
      <c r="J120" s="50">
        <v>30</v>
      </c>
      <c r="K120" s="111">
        <f t="shared" ref="K120:K132" si="16">H120*J120</f>
        <v>38.75</v>
      </c>
    </row>
    <row r="121" spans="1:11" ht="16" x14ac:dyDescent="0.2">
      <c r="A121" s="112">
        <v>2010100099</v>
      </c>
      <c r="B121" s="84" t="s">
        <v>122</v>
      </c>
      <c r="C121" s="16">
        <v>3</v>
      </c>
      <c r="D121" s="16">
        <v>7</v>
      </c>
      <c r="E121" s="213"/>
      <c r="F121" s="32">
        <v>5</v>
      </c>
      <c r="G121" s="16">
        <v>5</v>
      </c>
      <c r="H121" s="9">
        <f t="shared" si="13"/>
        <v>0.83333333333333337</v>
      </c>
      <c r="I121" s="133" t="s">
        <v>42</v>
      </c>
      <c r="J121" s="50">
        <v>30</v>
      </c>
      <c r="K121" s="113">
        <f t="shared" si="16"/>
        <v>25</v>
      </c>
    </row>
    <row r="122" spans="1:11" ht="16" x14ac:dyDescent="0.2">
      <c r="A122" s="112">
        <v>2010400126</v>
      </c>
      <c r="B122" s="84" t="s">
        <v>123</v>
      </c>
      <c r="C122" s="16">
        <v>6</v>
      </c>
      <c r="D122" s="16">
        <v>6</v>
      </c>
      <c r="E122" s="213"/>
      <c r="F122" s="32">
        <v>6</v>
      </c>
      <c r="G122" s="16">
        <v>3</v>
      </c>
      <c r="H122" s="9">
        <f t="shared" si="13"/>
        <v>0.875</v>
      </c>
      <c r="I122" s="133" t="s">
        <v>42</v>
      </c>
      <c r="J122" s="50">
        <v>29.4</v>
      </c>
      <c r="K122" s="113">
        <f t="shared" si="16"/>
        <v>25.724999999999998</v>
      </c>
    </row>
    <row r="123" spans="1:11" ht="16" x14ac:dyDescent="0.2">
      <c r="A123" s="112">
        <v>2210100016</v>
      </c>
      <c r="B123" s="85" t="s">
        <v>124</v>
      </c>
      <c r="C123" s="16">
        <v>52</v>
      </c>
      <c r="D123" s="16">
        <v>20</v>
      </c>
      <c r="E123" s="214"/>
      <c r="F123" s="32">
        <v>29</v>
      </c>
      <c r="G123" s="17">
        <v>18</v>
      </c>
      <c r="H123" s="9">
        <f t="shared" si="13"/>
        <v>4.958333333333333</v>
      </c>
      <c r="I123" s="134" t="s">
        <v>42</v>
      </c>
      <c r="J123" s="50">
        <v>26.95</v>
      </c>
      <c r="K123" s="111">
        <f t="shared" si="16"/>
        <v>133.62708333333333</v>
      </c>
    </row>
    <row r="124" spans="1:11" ht="16" x14ac:dyDescent="0.2">
      <c r="A124" s="112">
        <v>2210100018</v>
      </c>
      <c r="B124" s="84" t="s">
        <v>125</v>
      </c>
      <c r="C124" s="16">
        <v>123</v>
      </c>
      <c r="D124" s="16">
        <v>19</v>
      </c>
      <c r="E124" s="214"/>
      <c r="F124" s="32">
        <v>62</v>
      </c>
      <c r="G124" s="17">
        <v>19</v>
      </c>
      <c r="H124" s="9">
        <f t="shared" si="13"/>
        <v>9.2916666666666661</v>
      </c>
      <c r="I124" s="134" t="s">
        <v>42</v>
      </c>
      <c r="J124" s="50">
        <v>26.95</v>
      </c>
      <c r="K124" s="111">
        <f t="shared" si="16"/>
        <v>250.41041666666663</v>
      </c>
    </row>
    <row r="125" spans="1:11" ht="16" x14ac:dyDescent="0.2">
      <c r="A125" s="112">
        <v>2210100053</v>
      </c>
      <c r="B125" s="84" t="s">
        <v>126</v>
      </c>
      <c r="C125" s="16">
        <v>6</v>
      </c>
      <c r="D125" s="16">
        <v>4</v>
      </c>
      <c r="E125" s="213"/>
      <c r="F125" s="32">
        <v>9</v>
      </c>
      <c r="G125" s="16">
        <v>3</v>
      </c>
      <c r="H125" s="9">
        <f t="shared" si="13"/>
        <v>0.91666666666666663</v>
      </c>
      <c r="I125" s="133" t="s">
        <v>42</v>
      </c>
      <c r="J125" s="50">
        <v>30.4</v>
      </c>
      <c r="K125" s="113">
        <f t="shared" si="16"/>
        <v>27.866666666666664</v>
      </c>
    </row>
    <row r="126" spans="1:11" ht="16" x14ac:dyDescent="0.2">
      <c r="A126" s="112">
        <v>2210100074</v>
      </c>
      <c r="B126" s="84" t="s">
        <v>127</v>
      </c>
      <c r="C126" s="16">
        <v>7</v>
      </c>
      <c r="D126" s="16">
        <v>4</v>
      </c>
      <c r="E126" s="213"/>
      <c r="F126" s="32">
        <v>8</v>
      </c>
      <c r="G126" s="16">
        <v>4</v>
      </c>
      <c r="H126" s="9">
        <f t="shared" si="13"/>
        <v>0.95833333333333337</v>
      </c>
      <c r="I126" s="133" t="s">
        <v>42</v>
      </c>
      <c r="J126" s="50">
        <v>30</v>
      </c>
      <c r="K126" s="113">
        <f t="shared" si="16"/>
        <v>28.75</v>
      </c>
    </row>
    <row r="127" spans="1:11" ht="16" x14ac:dyDescent="0.2">
      <c r="A127" s="112">
        <v>2210100091</v>
      </c>
      <c r="B127" s="84" t="s">
        <v>128</v>
      </c>
      <c r="C127" s="16">
        <v>7</v>
      </c>
      <c r="D127" s="16">
        <v>1</v>
      </c>
      <c r="E127" s="213"/>
      <c r="F127" s="32">
        <v>5</v>
      </c>
      <c r="G127" s="16">
        <v>4</v>
      </c>
      <c r="H127" s="9">
        <f t="shared" si="13"/>
        <v>0.70833333333333337</v>
      </c>
      <c r="I127" s="133" t="s">
        <v>42</v>
      </c>
      <c r="J127" s="50">
        <v>45</v>
      </c>
      <c r="K127" s="113">
        <f t="shared" si="16"/>
        <v>31.875</v>
      </c>
    </row>
    <row r="128" spans="1:11" ht="16" x14ac:dyDescent="0.2">
      <c r="A128" s="112">
        <v>2210100151</v>
      </c>
      <c r="B128" s="84" t="s">
        <v>143</v>
      </c>
      <c r="C128" s="16">
        <v>7</v>
      </c>
      <c r="D128" s="16">
        <v>6</v>
      </c>
      <c r="E128" s="213"/>
      <c r="F128" s="32">
        <v>13</v>
      </c>
      <c r="G128" s="16">
        <v>4</v>
      </c>
      <c r="H128" s="9">
        <f t="shared" si="13"/>
        <v>1.25</v>
      </c>
      <c r="I128" s="133" t="s">
        <v>42</v>
      </c>
      <c r="J128" s="50">
        <v>30</v>
      </c>
      <c r="K128" s="113">
        <f t="shared" si="16"/>
        <v>37.5</v>
      </c>
    </row>
    <row r="129" spans="1:11" ht="16" x14ac:dyDescent="0.2">
      <c r="A129" s="112">
        <v>2210101187</v>
      </c>
      <c r="B129" s="92" t="s">
        <v>146</v>
      </c>
      <c r="C129" s="16">
        <v>0</v>
      </c>
      <c r="D129" s="16">
        <v>15</v>
      </c>
      <c r="E129" s="213"/>
      <c r="F129" s="32">
        <v>3</v>
      </c>
      <c r="G129" s="16">
        <v>4</v>
      </c>
      <c r="H129" s="9">
        <f t="shared" si="13"/>
        <v>0.91666666666666663</v>
      </c>
      <c r="I129" s="134" t="s">
        <v>42</v>
      </c>
      <c r="J129" s="50">
        <v>25.6</v>
      </c>
      <c r="K129" s="113">
        <f t="shared" si="16"/>
        <v>23.466666666666669</v>
      </c>
    </row>
    <row r="130" spans="1:11" ht="16" x14ac:dyDescent="0.2">
      <c r="A130" s="112">
        <v>2210150007</v>
      </c>
      <c r="B130" s="84" t="s">
        <v>129</v>
      </c>
      <c r="C130" s="16">
        <v>32</v>
      </c>
      <c r="D130" s="16">
        <v>10</v>
      </c>
      <c r="E130" s="213"/>
      <c r="F130" s="32">
        <v>12</v>
      </c>
      <c r="G130" s="16">
        <v>14</v>
      </c>
      <c r="H130" s="9">
        <f t="shared" si="13"/>
        <v>2.8333333333333335</v>
      </c>
      <c r="I130" s="133" t="s">
        <v>42</v>
      </c>
      <c r="J130" s="50">
        <v>30.22</v>
      </c>
      <c r="K130" s="113">
        <f t="shared" si="16"/>
        <v>85.623333333333335</v>
      </c>
    </row>
    <row r="131" spans="1:11" ht="16" x14ac:dyDescent="0.2">
      <c r="A131" s="112">
        <v>2210300010</v>
      </c>
      <c r="B131" s="84" t="s">
        <v>130</v>
      </c>
      <c r="C131" s="16">
        <v>0</v>
      </c>
      <c r="D131" s="16">
        <v>0</v>
      </c>
      <c r="E131" s="213"/>
      <c r="F131" s="32">
        <v>0</v>
      </c>
      <c r="G131" s="16">
        <v>0</v>
      </c>
      <c r="H131" s="9">
        <f t="shared" si="13"/>
        <v>0</v>
      </c>
      <c r="I131" s="133" t="s">
        <v>42</v>
      </c>
      <c r="J131" s="50">
        <v>25.5</v>
      </c>
      <c r="K131" s="113">
        <f t="shared" si="16"/>
        <v>0</v>
      </c>
    </row>
    <row r="132" spans="1:11" ht="17" thickBot="1" x14ac:dyDescent="0.25">
      <c r="A132" s="115">
        <v>2210150092</v>
      </c>
      <c r="B132" s="116" t="s">
        <v>137</v>
      </c>
      <c r="C132" s="76">
        <v>6</v>
      </c>
      <c r="D132" s="76">
        <v>6</v>
      </c>
      <c r="E132" s="215"/>
      <c r="F132" s="210">
        <v>8</v>
      </c>
      <c r="G132" s="77">
        <v>6</v>
      </c>
      <c r="H132" s="121">
        <f t="shared" si="13"/>
        <v>1.0833333333333333</v>
      </c>
      <c r="I132" s="103" t="s">
        <v>42</v>
      </c>
      <c r="J132" s="117">
        <v>30.75</v>
      </c>
      <c r="K132" s="118">
        <f t="shared" si="16"/>
        <v>33.3125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v>45597</v>
      </c>
      <c r="K136" s="148"/>
    </row>
    <row r="137" spans="1:11" ht="33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216"/>
      <c r="F137" s="221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12">
        <v>2210100007</v>
      </c>
      <c r="B138" s="82" t="s">
        <v>114</v>
      </c>
      <c r="C138" s="89"/>
      <c r="D138" s="10">
        <v>11</v>
      </c>
      <c r="E138" s="217"/>
      <c r="F138" s="209">
        <v>5</v>
      </c>
      <c r="G138" s="11">
        <v>4</v>
      </c>
      <c r="H138" s="9">
        <f>D138+F138+G138</f>
        <v>20</v>
      </c>
      <c r="I138" s="134" t="s">
        <v>42</v>
      </c>
      <c r="J138" s="49">
        <v>25.5</v>
      </c>
      <c r="K138" s="111">
        <f t="shared" ref="K138:K158" si="17">H138*J138</f>
        <v>510</v>
      </c>
    </row>
    <row r="139" spans="1:11" ht="16" x14ac:dyDescent="0.2">
      <c r="A139" s="110">
        <v>2210100009</v>
      </c>
      <c r="B139" s="83" t="s">
        <v>115</v>
      </c>
      <c r="C139" s="69"/>
      <c r="D139" s="16">
        <v>13</v>
      </c>
      <c r="E139" s="214"/>
      <c r="F139" s="32">
        <v>2</v>
      </c>
      <c r="G139" s="17">
        <v>6</v>
      </c>
      <c r="H139" s="9">
        <f t="shared" ref="H139:H158" si="18">D139+F139+G139</f>
        <v>21</v>
      </c>
      <c r="I139" s="134" t="s">
        <v>42</v>
      </c>
      <c r="J139" s="50">
        <v>25.5</v>
      </c>
      <c r="K139" s="111">
        <f t="shared" si="17"/>
        <v>535.5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15</v>
      </c>
      <c r="E140" s="214"/>
      <c r="F140" s="32">
        <v>3</v>
      </c>
      <c r="G140" s="17">
        <v>5</v>
      </c>
      <c r="H140" s="9"/>
      <c r="I140" s="134" t="s">
        <v>42</v>
      </c>
      <c r="J140" s="50">
        <v>31.1</v>
      </c>
      <c r="K140" s="111">
        <f t="shared" si="17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4</v>
      </c>
      <c r="E141" s="214"/>
      <c r="F141" s="32">
        <v>0.5</v>
      </c>
      <c r="G141" s="17">
        <v>1</v>
      </c>
      <c r="H141" s="9">
        <f t="shared" si="18"/>
        <v>5.5</v>
      </c>
      <c r="I141" s="134" t="s">
        <v>42</v>
      </c>
      <c r="J141" s="50">
        <v>29.2</v>
      </c>
      <c r="K141" s="111">
        <f t="shared" si="17"/>
        <v>160.6</v>
      </c>
    </row>
    <row r="142" spans="1:11" ht="16" x14ac:dyDescent="0.2">
      <c r="A142" s="112">
        <v>2210100268</v>
      </c>
      <c r="B142" s="83" t="s">
        <v>118</v>
      </c>
      <c r="C142" s="69"/>
      <c r="D142" s="16">
        <v>10</v>
      </c>
      <c r="E142" s="214"/>
      <c r="F142" s="32">
        <v>0.75</v>
      </c>
      <c r="G142" s="17">
        <v>8</v>
      </c>
      <c r="H142" s="9">
        <f t="shared" si="18"/>
        <v>18.75</v>
      </c>
      <c r="I142" s="134" t="s">
        <v>42</v>
      </c>
      <c r="J142" s="50">
        <v>25.05</v>
      </c>
      <c r="K142" s="111">
        <f t="shared" si="17"/>
        <v>469.6875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6</v>
      </c>
      <c r="E143" s="214"/>
      <c r="F143" s="32">
        <v>4.5</v>
      </c>
      <c r="G143" s="17">
        <v>4</v>
      </c>
      <c r="H143" s="9">
        <f t="shared" si="18"/>
        <v>14.5</v>
      </c>
      <c r="I143" s="134" t="s">
        <v>42</v>
      </c>
      <c r="J143" s="50">
        <v>29.8</v>
      </c>
      <c r="K143" s="111">
        <f t="shared" si="17"/>
        <v>432.1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214"/>
      <c r="F144" s="32">
        <v>1.5</v>
      </c>
      <c r="G144" s="17">
        <v>1</v>
      </c>
      <c r="H144" s="9">
        <f t="shared" si="18"/>
        <v>4.5</v>
      </c>
      <c r="I144" s="134" t="s">
        <v>42</v>
      </c>
      <c r="J144" s="50">
        <v>29.8</v>
      </c>
      <c r="K144" s="111">
        <f t="shared" si="17"/>
        <v>134.1</v>
      </c>
    </row>
    <row r="145" spans="1:11" ht="16" x14ac:dyDescent="0.2">
      <c r="A145" s="112">
        <v>2210150264</v>
      </c>
      <c r="B145" s="84" t="s">
        <v>144</v>
      </c>
      <c r="C145" s="69"/>
      <c r="D145" s="16">
        <v>8</v>
      </c>
      <c r="E145" s="214"/>
      <c r="F145" s="32">
        <v>0</v>
      </c>
      <c r="G145" s="17">
        <v>1</v>
      </c>
      <c r="H145" s="9">
        <f>D145+F145+G145</f>
        <v>9</v>
      </c>
      <c r="I145" s="134" t="s">
        <v>42</v>
      </c>
      <c r="J145" s="50">
        <v>29.86</v>
      </c>
      <c r="K145" s="111">
        <f>H145*J145</f>
        <v>268.74</v>
      </c>
    </row>
    <row r="146" spans="1:11" ht="16" x14ac:dyDescent="0.2">
      <c r="A146" s="112">
        <v>2230310104</v>
      </c>
      <c r="B146" s="84" t="s">
        <v>121</v>
      </c>
      <c r="C146" s="69"/>
      <c r="D146" s="16">
        <v>1</v>
      </c>
      <c r="E146" s="214"/>
      <c r="F146" s="32">
        <v>0.5</v>
      </c>
      <c r="G146" s="17">
        <v>0</v>
      </c>
      <c r="H146" s="9">
        <f t="shared" si="18"/>
        <v>1.5</v>
      </c>
      <c r="I146" s="134" t="s">
        <v>42</v>
      </c>
      <c r="J146" s="50">
        <v>30</v>
      </c>
      <c r="K146" s="111">
        <f t="shared" si="17"/>
        <v>45</v>
      </c>
    </row>
    <row r="147" spans="1:11" ht="16" x14ac:dyDescent="0.2">
      <c r="A147" s="112">
        <v>2230310089</v>
      </c>
      <c r="B147" s="84" t="s">
        <v>122</v>
      </c>
      <c r="C147" s="69"/>
      <c r="D147" s="16">
        <v>9</v>
      </c>
      <c r="E147" s="214"/>
      <c r="F147" s="32">
        <v>1</v>
      </c>
      <c r="G147" s="17">
        <v>2</v>
      </c>
      <c r="H147" s="9">
        <f t="shared" si="18"/>
        <v>12</v>
      </c>
      <c r="I147" s="134" t="s">
        <v>42</v>
      </c>
      <c r="J147" s="50">
        <v>30</v>
      </c>
      <c r="K147" s="111">
        <f t="shared" si="17"/>
        <v>360</v>
      </c>
    </row>
    <row r="148" spans="1:11" ht="16" x14ac:dyDescent="0.2">
      <c r="A148" s="112">
        <v>2010400126</v>
      </c>
      <c r="B148" s="84" t="s">
        <v>123</v>
      </c>
      <c r="C148" s="69"/>
      <c r="D148" s="16">
        <v>1</v>
      </c>
      <c r="E148" s="214"/>
      <c r="F148" s="32">
        <v>1</v>
      </c>
      <c r="G148" s="17">
        <v>0</v>
      </c>
      <c r="H148" s="9">
        <f t="shared" si="18"/>
        <v>2</v>
      </c>
      <c r="I148" s="134" t="s">
        <v>42</v>
      </c>
      <c r="J148" s="50">
        <v>29.4</v>
      </c>
      <c r="K148" s="111">
        <f t="shared" si="17"/>
        <v>58.8</v>
      </c>
    </row>
    <row r="149" spans="1:11" ht="16" x14ac:dyDescent="0.2">
      <c r="A149" s="112">
        <v>2210100016</v>
      </c>
      <c r="B149" s="85" t="s">
        <v>124</v>
      </c>
      <c r="C149" s="69"/>
      <c r="D149" s="16">
        <v>31</v>
      </c>
      <c r="E149" s="214"/>
      <c r="F149" s="32">
        <v>6.5</v>
      </c>
      <c r="G149" s="17">
        <v>4</v>
      </c>
      <c r="H149" s="9">
        <f t="shared" si="18"/>
        <v>41.5</v>
      </c>
      <c r="I149" s="134" t="s">
        <v>42</v>
      </c>
      <c r="J149" s="50">
        <v>26.95</v>
      </c>
      <c r="K149" s="111">
        <f t="shared" si="17"/>
        <v>1118.425</v>
      </c>
    </row>
    <row r="150" spans="1:11" ht="16" x14ac:dyDescent="0.2">
      <c r="A150" s="112">
        <v>2210100018</v>
      </c>
      <c r="B150" s="84" t="s">
        <v>125</v>
      </c>
      <c r="C150" s="69"/>
      <c r="D150" s="16">
        <v>17</v>
      </c>
      <c r="E150" s="214"/>
      <c r="F150" s="32">
        <v>4</v>
      </c>
      <c r="G150" s="17">
        <v>4</v>
      </c>
      <c r="H150" s="9">
        <f t="shared" si="18"/>
        <v>25</v>
      </c>
      <c r="I150" s="134" t="s">
        <v>42</v>
      </c>
      <c r="J150" s="50">
        <v>26.95</v>
      </c>
      <c r="K150" s="111">
        <f t="shared" si="17"/>
        <v>673.75</v>
      </c>
    </row>
    <row r="151" spans="1:11" ht="16" x14ac:dyDescent="0.2">
      <c r="A151" s="112">
        <v>2210100053</v>
      </c>
      <c r="B151" s="84" t="s">
        <v>126</v>
      </c>
      <c r="C151" s="90"/>
      <c r="D151" s="53">
        <v>0</v>
      </c>
      <c r="E151" s="218"/>
      <c r="F151" s="207">
        <v>0</v>
      </c>
      <c r="G151" s="54">
        <v>0</v>
      </c>
      <c r="H151" s="9">
        <f t="shared" si="18"/>
        <v>0</v>
      </c>
      <c r="I151" s="135" t="s">
        <v>42</v>
      </c>
      <c r="J151" s="55">
        <v>30.4</v>
      </c>
      <c r="K151" s="119">
        <f t="shared" si="17"/>
        <v>0</v>
      </c>
    </row>
    <row r="152" spans="1:11" ht="16" x14ac:dyDescent="0.2">
      <c r="A152" s="110">
        <v>2210100074</v>
      </c>
      <c r="B152" s="91" t="s">
        <v>127</v>
      </c>
      <c r="C152" s="69"/>
      <c r="D152" s="16">
        <v>5</v>
      </c>
      <c r="E152" s="214"/>
      <c r="F152" s="32">
        <v>0.5</v>
      </c>
      <c r="G152" s="17">
        <v>0</v>
      </c>
      <c r="H152" s="9">
        <f t="shared" si="18"/>
        <v>5.5</v>
      </c>
      <c r="I152" s="134" t="s">
        <v>42</v>
      </c>
      <c r="J152" s="50">
        <v>30</v>
      </c>
      <c r="K152" s="111">
        <f t="shared" si="17"/>
        <v>165</v>
      </c>
    </row>
    <row r="153" spans="1:11" ht="16" x14ac:dyDescent="0.2">
      <c r="A153" s="112">
        <v>2210100091</v>
      </c>
      <c r="B153" s="84" t="s">
        <v>128</v>
      </c>
      <c r="C153" s="69"/>
      <c r="D153" s="16">
        <v>0</v>
      </c>
      <c r="E153" s="214"/>
      <c r="F153" s="32">
        <v>0</v>
      </c>
      <c r="G153" s="17">
        <v>2</v>
      </c>
      <c r="H153" s="9">
        <f t="shared" si="18"/>
        <v>2</v>
      </c>
      <c r="I153" s="134" t="s">
        <v>42</v>
      </c>
      <c r="J153" s="50">
        <v>45</v>
      </c>
      <c r="K153" s="111">
        <f t="shared" si="17"/>
        <v>90</v>
      </c>
    </row>
    <row r="154" spans="1:11" ht="16" x14ac:dyDescent="0.2">
      <c r="A154" s="112">
        <v>2210100151</v>
      </c>
      <c r="B154" s="84" t="s">
        <v>143</v>
      </c>
      <c r="C154" s="69"/>
      <c r="D154" s="16">
        <v>3</v>
      </c>
      <c r="E154" s="214"/>
      <c r="F154" s="32">
        <v>1</v>
      </c>
      <c r="G154" s="17">
        <v>2</v>
      </c>
      <c r="H154" s="9">
        <f t="shared" si="18"/>
        <v>6</v>
      </c>
      <c r="I154" s="134" t="s">
        <v>42</v>
      </c>
      <c r="J154" s="50">
        <v>30</v>
      </c>
      <c r="K154" s="111">
        <f t="shared" si="17"/>
        <v>180</v>
      </c>
    </row>
    <row r="155" spans="1:11" ht="16" x14ac:dyDescent="0.2">
      <c r="A155" s="112">
        <v>2210101187</v>
      </c>
      <c r="B155" s="92" t="s">
        <v>146</v>
      </c>
      <c r="C155" s="69"/>
      <c r="D155" s="16">
        <v>2</v>
      </c>
      <c r="E155" s="214"/>
      <c r="F155" s="32">
        <v>1.5</v>
      </c>
      <c r="G155" s="17">
        <v>0</v>
      </c>
      <c r="H155" s="9">
        <f t="shared" si="18"/>
        <v>3.5</v>
      </c>
      <c r="I155" s="134" t="s">
        <v>42</v>
      </c>
      <c r="J155" s="50">
        <v>25.6</v>
      </c>
      <c r="K155" s="111">
        <f t="shared" si="17"/>
        <v>89.600000000000009</v>
      </c>
    </row>
    <row r="156" spans="1:11" ht="16" x14ac:dyDescent="0.2">
      <c r="A156" s="112">
        <v>2210300010</v>
      </c>
      <c r="B156" s="92" t="s">
        <v>129</v>
      </c>
      <c r="C156" s="69"/>
      <c r="D156" s="16">
        <v>8</v>
      </c>
      <c r="E156" s="214"/>
      <c r="F156" s="32">
        <v>4</v>
      </c>
      <c r="G156" s="17">
        <v>2</v>
      </c>
      <c r="H156" s="9">
        <f t="shared" si="18"/>
        <v>14</v>
      </c>
      <c r="I156" s="134" t="s">
        <v>42</v>
      </c>
      <c r="J156" s="50">
        <v>30.22</v>
      </c>
      <c r="K156" s="111">
        <f t="shared" si="17"/>
        <v>423.08</v>
      </c>
    </row>
    <row r="157" spans="1:11" ht="16" x14ac:dyDescent="0.2">
      <c r="A157" s="112">
        <v>2210300010</v>
      </c>
      <c r="B157" s="84" t="s">
        <v>130</v>
      </c>
      <c r="C157" s="69"/>
      <c r="D157" s="16">
        <v>0</v>
      </c>
      <c r="E157" s="214"/>
      <c r="F157" s="32">
        <v>0</v>
      </c>
      <c r="G157" s="17">
        <v>0</v>
      </c>
      <c r="H157" s="15">
        <f t="shared" si="18"/>
        <v>0</v>
      </c>
      <c r="I157" s="96" t="s">
        <v>42</v>
      </c>
      <c r="J157" s="50">
        <v>25.5</v>
      </c>
      <c r="K157" s="113">
        <f t="shared" si="17"/>
        <v>0</v>
      </c>
    </row>
    <row r="158" spans="1:11" ht="17" thickBot="1" x14ac:dyDescent="0.25">
      <c r="A158" s="189">
        <v>2210150092</v>
      </c>
      <c r="B158" s="190" t="s">
        <v>137</v>
      </c>
      <c r="C158" s="191"/>
      <c r="D158" s="192">
        <v>1</v>
      </c>
      <c r="E158" s="219"/>
      <c r="F158" s="225">
        <v>1</v>
      </c>
      <c r="G158" s="193">
        <v>2</v>
      </c>
      <c r="H158" s="121">
        <f t="shared" si="18"/>
        <v>4</v>
      </c>
      <c r="I158" s="194" t="s">
        <v>42</v>
      </c>
      <c r="J158" s="195">
        <v>30.75</v>
      </c>
      <c r="K158" s="126">
        <f t="shared" si="17"/>
        <v>123</v>
      </c>
    </row>
    <row r="159" spans="1:11" ht="18" thickBot="1" x14ac:dyDescent="0.25">
      <c r="A159" s="86"/>
      <c r="B159" s="303" t="s">
        <v>132</v>
      </c>
      <c r="C159" s="33"/>
      <c r="D159" s="33"/>
      <c r="E159" s="79"/>
      <c r="F159" s="79"/>
      <c r="G159" s="33"/>
      <c r="H159" s="33"/>
      <c r="I159" s="34"/>
      <c r="J159" s="51"/>
      <c r="K159" s="51"/>
    </row>
    <row r="160" spans="1:11" ht="33" hidden="1" thickBot="1" x14ac:dyDescent="0.25">
      <c r="A160" s="67" t="s">
        <v>2</v>
      </c>
      <c r="B160" s="93" t="s">
        <v>132</v>
      </c>
      <c r="C160" s="52" t="s">
        <v>4</v>
      </c>
      <c r="D160" s="2" t="s">
        <v>5</v>
      </c>
      <c r="E160" s="216"/>
      <c r="F160" s="226"/>
      <c r="G160" s="56" t="s">
        <v>8</v>
      </c>
      <c r="H160" s="5" t="s">
        <v>9</v>
      </c>
      <c r="I160" s="6" t="s">
        <v>10</v>
      </c>
      <c r="J160" s="7" t="s">
        <v>133</v>
      </c>
      <c r="K160" s="8" t="s">
        <v>12</v>
      </c>
    </row>
    <row r="161" spans="1:12" x14ac:dyDescent="0.2">
      <c r="A161" s="150">
        <v>2210200045</v>
      </c>
      <c r="B161" s="151" t="s">
        <v>125</v>
      </c>
      <c r="C161" s="152"/>
      <c r="D161" s="70">
        <v>2</v>
      </c>
      <c r="E161" s="220"/>
      <c r="F161" s="220"/>
      <c r="G161" s="71">
        <v>2</v>
      </c>
      <c r="H161" s="30">
        <f>SUM(D161:G161)</f>
        <v>4</v>
      </c>
      <c r="I161" s="154" t="s">
        <v>134</v>
      </c>
      <c r="J161" s="155">
        <v>126.75</v>
      </c>
      <c r="K161" s="156">
        <f>H161*J161</f>
        <v>507</v>
      </c>
    </row>
    <row r="162" spans="1:12" x14ac:dyDescent="0.2">
      <c r="A162" s="110">
        <v>2210200262</v>
      </c>
      <c r="B162" s="94" t="s">
        <v>139</v>
      </c>
      <c r="C162" s="42"/>
      <c r="D162" s="10">
        <v>2</v>
      </c>
      <c r="E162" s="217"/>
      <c r="F162" s="217"/>
      <c r="G162" s="11">
        <v>2</v>
      </c>
      <c r="H162" s="12">
        <f>SUM(C162:G162)</f>
        <v>4</v>
      </c>
      <c r="I162" s="13" t="s">
        <v>134</v>
      </c>
      <c r="J162" s="49">
        <v>146.75</v>
      </c>
      <c r="K162" s="111">
        <f>H162*J162</f>
        <v>587</v>
      </c>
    </row>
    <row r="163" spans="1:12" x14ac:dyDescent="0.2">
      <c r="A163" s="112">
        <v>2210200072</v>
      </c>
      <c r="B163" s="95" t="s">
        <v>124</v>
      </c>
      <c r="C163" s="25"/>
      <c r="D163" s="16">
        <v>3</v>
      </c>
      <c r="E163" s="214"/>
      <c r="F163" s="214"/>
      <c r="G163" s="17">
        <v>1</v>
      </c>
      <c r="H163" s="12">
        <f t="shared" ref="H163:H166" si="19">SUM(D163:G163)</f>
        <v>4</v>
      </c>
      <c r="I163" s="13" t="s">
        <v>134</v>
      </c>
      <c r="J163" s="50">
        <v>126.75</v>
      </c>
      <c r="K163" s="111">
        <f t="shared" ref="K163:K166" si="20">H163*J163</f>
        <v>507</v>
      </c>
    </row>
    <row r="164" spans="1:12" x14ac:dyDescent="0.2">
      <c r="A164" s="122">
        <v>2210200083</v>
      </c>
      <c r="B164" s="95" t="s">
        <v>135</v>
      </c>
      <c r="C164" s="25"/>
      <c r="D164" s="16">
        <v>3</v>
      </c>
      <c r="E164" s="214"/>
      <c r="F164" s="214"/>
      <c r="G164" s="17">
        <v>1</v>
      </c>
      <c r="H164" s="12">
        <f t="shared" si="19"/>
        <v>4</v>
      </c>
      <c r="I164" s="13" t="s">
        <v>134</v>
      </c>
      <c r="J164" s="50">
        <v>151</v>
      </c>
      <c r="K164" s="111">
        <f t="shared" si="20"/>
        <v>604</v>
      </c>
    </row>
    <row r="165" spans="1:12" x14ac:dyDescent="0.2">
      <c r="A165" s="295">
        <v>2210200345</v>
      </c>
      <c r="B165" s="296" t="s">
        <v>136</v>
      </c>
      <c r="C165" s="69"/>
      <c r="D165" s="297">
        <v>2</v>
      </c>
      <c r="E165" s="214"/>
      <c r="F165" s="214"/>
      <c r="G165" s="298">
        <v>1</v>
      </c>
      <c r="H165" s="299">
        <f t="shared" si="19"/>
        <v>3</v>
      </c>
      <c r="I165" s="300" t="s">
        <v>134</v>
      </c>
      <c r="J165" s="301">
        <v>210</v>
      </c>
      <c r="K165" s="302">
        <f t="shared" si="20"/>
        <v>630</v>
      </c>
      <c r="L165" t="s">
        <v>153</v>
      </c>
    </row>
    <row r="166" spans="1:12" ht="16" thickBot="1" x14ac:dyDescent="0.25">
      <c r="A166" s="123">
        <v>2210200485</v>
      </c>
      <c r="B166" s="124" t="s">
        <v>140</v>
      </c>
      <c r="C166" s="109"/>
      <c r="D166" s="76">
        <v>1</v>
      </c>
      <c r="E166" s="215"/>
      <c r="F166" s="215"/>
      <c r="G166" s="77">
        <v>1</v>
      </c>
      <c r="H166" s="100">
        <f t="shared" si="19"/>
        <v>2</v>
      </c>
      <c r="I166" s="125" t="s">
        <v>134</v>
      </c>
      <c r="J166" s="117">
        <v>129.75</v>
      </c>
      <c r="K166" s="126">
        <f t="shared" si="20"/>
        <v>259.5</v>
      </c>
    </row>
    <row r="167" spans="1:12" ht="16" x14ac:dyDescent="0.2">
      <c r="H167" s="57" t="s">
        <v>138</v>
      </c>
      <c r="I167" s="58"/>
      <c r="J167" s="136"/>
      <c r="K167" s="136">
        <f>SUM(K112:K133,K138:K157,K161:K166)</f>
        <v>10715.225</v>
      </c>
    </row>
  </sheetData>
  <mergeCells count="2">
    <mergeCell ref="C89:G89"/>
    <mergeCell ref="C98:G98"/>
  </mergeCells>
  <pageMargins left="0" right="0" top="0.25" bottom="0.25" header="0.3" footer="0.3"/>
  <pageSetup scale="78" orientation="portrait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9CFF-3EC7-48F6-966B-D45D46CA276B}">
  <sheetPr>
    <tabColor theme="2"/>
  </sheetPr>
  <dimension ref="A3:Y168"/>
  <sheetViews>
    <sheetView zoomScaleNormal="100" workbookViewId="0">
      <selection activeCell="C6" sqref="C6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>
        <v>1</v>
      </c>
      <c r="D6" s="347">
        <v>1</v>
      </c>
      <c r="E6" s="347">
        <v>0</v>
      </c>
      <c r="F6" s="347">
        <v>0.5</v>
      </c>
      <c r="G6" s="347">
        <v>0.5</v>
      </c>
      <c r="H6" s="305">
        <f>SUM(C6:G6)</f>
        <v>3</v>
      </c>
      <c r="I6" s="327" t="s">
        <v>14</v>
      </c>
      <c r="J6" s="328">
        <v>26.33</v>
      </c>
      <c r="K6" s="329">
        <f>H6*J6</f>
        <v>78.989999999999995</v>
      </c>
    </row>
    <row r="7" spans="1:11" s="33" customFormat="1" x14ac:dyDescent="0.2">
      <c r="A7" s="73">
        <v>2230400014</v>
      </c>
      <c r="B7" s="15" t="s">
        <v>15</v>
      </c>
      <c r="C7" s="348">
        <v>2</v>
      </c>
      <c r="D7" s="348">
        <v>0</v>
      </c>
      <c r="E7" s="348">
        <v>0</v>
      </c>
      <c r="F7" s="348">
        <v>0</v>
      </c>
      <c r="G7" s="348">
        <v>1</v>
      </c>
      <c r="H7" s="21">
        <f t="shared" ref="H7:H40" si="0">SUM(C7:G7)</f>
        <v>3</v>
      </c>
      <c r="I7" s="98">
        <v>750</v>
      </c>
      <c r="J7" s="22">
        <v>26.24</v>
      </c>
      <c r="K7" s="106">
        <f>H7*J7</f>
        <v>78.72</v>
      </c>
    </row>
    <row r="8" spans="1:11" s="33" customFormat="1" x14ac:dyDescent="0.2">
      <c r="A8" s="73">
        <v>2230400016</v>
      </c>
      <c r="B8" s="15" t="s">
        <v>16</v>
      </c>
      <c r="C8" s="348">
        <v>2</v>
      </c>
      <c r="D8" s="348">
        <v>1</v>
      </c>
      <c r="E8" s="348">
        <v>2</v>
      </c>
      <c r="F8" s="348">
        <v>2</v>
      </c>
      <c r="G8" s="348">
        <v>1</v>
      </c>
      <c r="H8" s="21">
        <f t="shared" si="0"/>
        <v>8</v>
      </c>
      <c r="I8" s="98">
        <v>750</v>
      </c>
      <c r="J8" s="22">
        <v>26.24</v>
      </c>
      <c r="K8" s="106">
        <f t="shared" ref="K8:K40" si="1">H8*J8</f>
        <v>209.92</v>
      </c>
    </row>
    <row r="9" spans="1:11" s="33" customFormat="1" x14ac:dyDescent="0.2">
      <c r="A9" s="73">
        <v>2230400032</v>
      </c>
      <c r="B9" s="15" t="s">
        <v>17</v>
      </c>
      <c r="C9" s="348">
        <v>1</v>
      </c>
      <c r="D9" s="348">
        <v>1</v>
      </c>
      <c r="E9" s="348">
        <v>2</v>
      </c>
      <c r="F9" s="348">
        <v>2</v>
      </c>
      <c r="G9" s="348">
        <v>1</v>
      </c>
      <c r="H9" s="21">
        <f t="shared" si="0"/>
        <v>7</v>
      </c>
      <c r="I9" s="97" t="s">
        <v>14</v>
      </c>
      <c r="J9" s="22">
        <v>21.01</v>
      </c>
      <c r="K9" s="106">
        <f t="shared" si="1"/>
        <v>147.07000000000002</v>
      </c>
    </row>
    <row r="10" spans="1:11" s="33" customFormat="1" x14ac:dyDescent="0.2">
      <c r="A10" s="73">
        <v>2230400030</v>
      </c>
      <c r="B10" s="15" t="s">
        <v>18</v>
      </c>
      <c r="C10" s="348">
        <v>3</v>
      </c>
      <c r="D10" s="348">
        <v>0</v>
      </c>
      <c r="E10" s="348">
        <v>1</v>
      </c>
      <c r="F10" s="348">
        <v>2</v>
      </c>
      <c r="G10" s="348">
        <v>1</v>
      </c>
      <c r="H10" s="21">
        <f t="shared" si="0"/>
        <v>7</v>
      </c>
      <c r="I10" s="97" t="s">
        <v>14</v>
      </c>
      <c r="J10" s="22">
        <v>26</v>
      </c>
      <c r="K10" s="106">
        <f t="shared" si="1"/>
        <v>182</v>
      </c>
    </row>
    <row r="11" spans="1:11" s="33" customFormat="1" x14ac:dyDescent="0.2">
      <c r="A11" s="73">
        <v>2230400018</v>
      </c>
      <c r="B11" s="15" t="s">
        <v>20</v>
      </c>
      <c r="C11" s="348">
        <v>1</v>
      </c>
      <c r="D11" s="348">
        <v>0</v>
      </c>
      <c r="E11" s="348">
        <v>0</v>
      </c>
      <c r="F11" s="348">
        <v>2</v>
      </c>
      <c r="G11" s="348">
        <v>1</v>
      </c>
      <c r="H11" s="21">
        <f t="shared" si="0"/>
        <v>4</v>
      </c>
      <c r="I11" s="97" t="s">
        <v>14</v>
      </c>
      <c r="J11" s="22">
        <v>29.54</v>
      </c>
      <c r="K11" s="106">
        <f t="shared" si="1"/>
        <v>118.16</v>
      </c>
    </row>
    <row r="12" spans="1:11" s="33" customFormat="1" ht="16" x14ac:dyDescent="0.2">
      <c r="A12" s="73">
        <v>2230400011</v>
      </c>
      <c r="B12" s="19" t="s">
        <v>21</v>
      </c>
      <c r="C12" s="348">
        <v>2</v>
      </c>
      <c r="D12" s="348">
        <v>1</v>
      </c>
      <c r="E12" s="348">
        <v>3</v>
      </c>
      <c r="F12" s="348">
        <v>1</v>
      </c>
      <c r="G12" s="348">
        <v>1</v>
      </c>
      <c r="H12" s="21">
        <f t="shared" si="0"/>
        <v>8</v>
      </c>
      <c r="I12" s="97" t="s">
        <v>14</v>
      </c>
      <c r="J12" s="22">
        <v>8</v>
      </c>
      <c r="K12" s="106">
        <f t="shared" si="1"/>
        <v>64</v>
      </c>
    </row>
    <row r="13" spans="1:11" s="33" customFormat="1" x14ac:dyDescent="0.2">
      <c r="A13" s="73">
        <v>2230400026</v>
      </c>
      <c r="B13" s="15" t="s">
        <v>22</v>
      </c>
      <c r="C13" s="348">
        <v>0</v>
      </c>
      <c r="D13" s="348">
        <v>0</v>
      </c>
      <c r="E13" s="348">
        <v>7</v>
      </c>
      <c r="F13" s="348">
        <v>0</v>
      </c>
      <c r="G13" s="348">
        <v>1</v>
      </c>
      <c r="H13" s="21">
        <f t="shared" si="0"/>
        <v>8</v>
      </c>
      <c r="I13" s="97" t="s">
        <v>14</v>
      </c>
      <c r="J13" s="22">
        <v>8</v>
      </c>
      <c r="K13" s="106">
        <f t="shared" si="1"/>
        <v>64</v>
      </c>
    </row>
    <row r="14" spans="1:11" s="33" customFormat="1" x14ac:dyDescent="0.2">
      <c r="A14" s="73">
        <v>2230400452</v>
      </c>
      <c r="B14" s="15" t="s">
        <v>23</v>
      </c>
      <c r="C14" s="348">
        <v>1.5</v>
      </c>
      <c r="D14" s="348">
        <v>0.5</v>
      </c>
      <c r="E14" s="348">
        <v>2</v>
      </c>
      <c r="F14" s="348">
        <v>1.5</v>
      </c>
      <c r="G14" s="348">
        <v>1.5</v>
      </c>
      <c r="H14" s="21">
        <f t="shared" si="0"/>
        <v>7</v>
      </c>
      <c r="I14" s="98">
        <v>750</v>
      </c>
      <c r="J14" s="22">
        <v>7.88</v>
      </c>
      <c r="K14" s="106">
        <f t="shared" si="1"/>
        <v>55.16</v>
      </c>
    </row>
    <row r="15" spans="1:11" s="33" customFormat="1" ht="16" x14ac:dyDescent="0.2">
      <c r="A15" s="73">
        <v>2230500001</v>
      </c>
      <c r="B15" s="19" t="s">
        <v>24</v>
      </c>
      <c r="C15" s="348">
        <v>1.5</v>
      </c>
      <c r="D15" s="348">
        <v>0.5</v>
      </c>
      <c r="E15" s="348">
        <v>0</v>
      </c>
      <c r="F15" s="348">
        <v>1.5</v>
      </c>
      <c r="G15" s="348">
        <v>1</v>
      </c>
      <c r="H15" s="21">
        <f t="shared" si="0"/>
        <v>4.5</v>
      </c>
      <c r="I15" s="97" t="s">
        <v>14</v>
      </c>
      <c r="J15" s="22">
        <v>41.98</v>
      </c>
      <c r="K15" s="106">
        <f t="shared" si="1"/>
        <v>188.91</v>
      </c>
    </row>
    <row r="16" spans="1:11" s="33" customFormat="1" x14ac:dyDescent="0.2">
      <c r="A16" s="73">
        <v>2230500004</v>
      </c>
      <c r="B16" s="15" t="s">
        <v>25</v>
      </c>
      <c r="C16" s="348">
        <v>2</v>
      </c>
      <c r="D16" s="348">
        <v>0</v>
      </c>
      <c r="E16" s="348">
        <v>1</v>
      </c>
      <c r="F16" s="348">
        <v>2</v>
      </c>
      <c r="G16" s="348">
        <v>1</v>
      </c>
      <c r="H16" s="21">
        <f t="shared" si="0"/>
        <v>6</v>
      </c>
      <c r="I16" s="97" t="s">
        <v>14</v>
      </c>
      <c r="J16" s="22">
        <v>55.54</v>
      </c>
      <c r="K16" s="106">
        <f t="shared" si="1"/>
        <v>333.24</v>
      </c>
    </row>
    <row r="17" spans="1:11" s="33" customFormat="1" x14ac:dyDescent="0.2">
      <c r="A17" s="105">
        <v>2230650036</v>
      </c>
      <c r="B17" s="21" t="s">
        <v>26</v>
      </c>
      <c r="C17" s="348">
        <v>0</v>
      </c>
      <c r="D17" s="348">
        <v>0</v>
      </c>
      <c r="E17" s="348">
        <v>6</v>
      </c>
      <c r="F17" s="348">
        <v>0</v>
      </c>
      <c r="G17" s="348">
        <v>1</v>
      </c>
      <c r="H17" s="21">
        <f t="shared" si="0"/>
        <v>7</v>
      </c>
      <c r="I17" s="97" t="s">
        <v>14</v>
      </c>
      <c r="J17" s="22">
        <v>24</v>
      </c>
      <c r="K17" s="106">
        <f t="shared" si="1"/>
        <v>168</v>
      </c>
    </row>
    <row r="18" spans="1:11" s="33" customFormat="1" x14ac:dyDescent="0.2">
      <c r="A18" s="105">
        <v>2230650044</v>
      </c>
      <c r="B18" s="21" t="s">
        <v>27</v>
      </c>
      <c r="C18" s="348">
        <v>2</v>
      </c>
      <c r="D18" s="348">
        <v>1</v>
      </c>
      <c r="E18" s="348">
        <v>0</v>
      </c>
      <c r="F18" s="348">
        <v>2</v>
      </c>
      <c r="G18" s="348">
        <v>1</v>
      </c>
      <c r="H18" s="21">
        <f t="shared" si="0"/>
        <v>6</v>
      </c>
      <c r="I18" s="97" t="s">
        <v>14</v>
      </c>
      <c r="J18" s="22">
        <v>25.12</v>
      </c>
      <c r="K18" s="106">
        <f t="shared" si="1"/>
        <v>150.72</v>
      </c>
    </row>
    <row r="19" spans="1:11" s="33" customFormat="1" ht="16" x14ac:dyDescent="0.2">
      <c r="A19" s="105">
        <v>2240200016</v>
      </c>
      <c r="B19" s="66" t="s">
        <v>28</v>
      </c>
      <c r="C19" s="348">
        <v>2</v>
      </c>
      <c r="D19" s="348">
        <v>0.5</v>
      </c>
      <c r="E19" s="348">
        <v>10</v>
      </c>
      <c r="F19" s="348">
        <v>3</v>
      </c>
      <c r="G19" s="348">
        <v>4</v>
      </c>
      <c r="H19" s="21">
        <f t="shared" si="0"/>
        <v>19.5</v>
      </c>
      <c r="I19" s="97" t="s">
        <v>29</v>
      </c>
      <c r="J19" s="22">
        <v>6.29</v>
      </c>
      <c r="K19" s="106">
        <f t="shared" si="1"/>
        <v>122.655</v>
      </c>
    </row>
    <row r="20" spans="1:11" s="33" customFormat="1" ht="16" hidden="1" x14ac:dyDescent="0.2">
      <c r="A20" s="105">
        <v>2240200017</v>
      </c>
      <c r="B20" s="66" t="s">
        <v>30</v>
      </c>
      <c r="C20" s="348">
        <v>3</v>
      </c>
      <c r="D20" s="348">
        <v>1</v>
      </c>
      <c r="E20" s="348">
        <v>10</v>
      </c>
      <c r="F20" s="348">
        <v>3</v>
      </c>
      <c r="G20" s="348">
        <v>2</v>
      </c>
      <c r="H20" s="21">
        <f t="shared" si="0"/>
        <v>19</v>
      </c>
      <c r="I20" s="97" t="s">
        <v>29</v>
      </c>
      <c r="J20" s="22">
        <v>6.29</v>
      </c>
      <c r="K20" s="106">
        <f t="shared" si="1"/>
        <v>119.51</v>
      </c>
    </row>
    <row r="21" spans="1:11" s="33" customFormat="1" hidden="1" x14ac:dyDescent="0.2">
      <c r="A21" s="165">
        <v>2230250010</v>
      </c>
      <c r="B21" s="236" t="s">
        <v>31</v>
      </c>
      <c r="C21" s="348">
        <v>2</v>
      </c>
      <c r="D21" s="348">
        <v>1</v>
      </c>
      <c r="E21" s="348">
        <v>3</v>
      </c>
      <c r="F21" s="348">
        <v>1</v>
      </c>
      <c r="G21" s="348">
        <v>1.5</v>
      </c>
      <c r="H21" s="21">
        <f t="shared" si="0"/>
        <v>8.5</v>
      </c>
      <c r="I21" s="167" t="s">
        <v>14</v>
      </c>
      <c r="J21" s="23">
        <v>48.74</v>
      </c>
      <c r="K21" s="131">
        <f t="shared" si="1"/>
        <v>414.29</v>
      </c>
    </row>
    <row r="22" spans="1:11" s="33" customFormat="1" x14ac:dyDescent="0.2">
      <c r="A22" s="105">
        <v>2230250007</v>
      </c>
      <c r="B22" s="21" t="s">
        <v>32</v>
      </c>
      <c r="C22" s="348">
        <v>2</v>
      </c>
      <c r="D22" s="348">
        <v>1</v>
      </c>
      <c r="E22" s="348">
        <v>9</v>
      </c>
      <c r="F22" s="348">
        <v>1</v>
      </c>
      <c r="G22" s="348">
        <v>1</v>
      </c>
      <c r="H22" s="21">
        <f t="shared" si="0"/>
        <v>14</v>
      </c>
      <c r="I22" s="98">
        <v>750</v>
      </c>
      <c r="J22" s="22">
        <v>32</v>
      </c>
      <c r="K22" s="131">
        <f t="shared" si="1"/>
        <v>448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>
        <v>2</v>
      </c>
      <c r="D24" s="348">
        <v>1</v>
      </c>
      <c r="E24" s="348">
        <v>3</v>
      </c>
      <c r="F24" s="348">
        <v>0</v>
      </c>
      <c r="G24" s="348">
        <v>1</v>
      </c>
      <c r="H24" s="21">
        <f t="shared" si="0"/>
        <v>7</v>
      </c>
      <c r="I24" s="97" t="s">
        <v>14</v>
      </c>
      <c r="J24" s="22">
        <v>37.130000000000003</v>
      </c>
      <c r="K24" s="131">
        <f t="shared" si="1"/>
        <v>259.91000000000003</v>
      </c>
    </row>
    <row r="25" spans="1:11" s="33" customFormat="1" x14ac:dyDescent="0.2">
      <c r="A25" s="105">
        <v>2230600026</v>
      </c>
      <c r="B25" s="21" t="s">
        <v>36</v>
      </c>
      <c r="C25" s="348">
        <v>1</v>
      </c>
      <c r="D25" s="348">
        <v>1</v>
      </c>
      <c r="E25" s="348">
        <v>0</v>
      </c>
      <c r="F25" s="348">
        <v>1</v>
      </c>
      <c r="G25" s="348">
        <v>1</v>
      </c>
      <c r="H25" s="21">
        <f t="shared" si="0"/>
        <v>4</v>
      </c>
      <c r="I25" s="97" t="s">
        <v>14</v>
      </c>
      <c r="J25" s="22">
        <v>10.24</v>
      </c>
      <c r="K25" s="131">
        <f t="shared" si="1"/>
        <v>40.96</v>
      </c>
    </row>
    <row r="26" spans="1:11" s="33" customFormat="1" x14ac:dyDescent="0.2">
      <c r="A26" s="105">
        <v>2230600031</v>
      </c>
      <c r="B26" s="21" t="s">
        <v>37</v>
      </c>
      <c r="C26" s="348">
        <v>1</v>
      </c>
      <c r="D26" s="348">
        <v>1</v>
      </c>
      <c r="E26" s="348">
        <v>1</v>
      </c>
      <c r="F26" s="348">
        <v>1</v>
      </c>
      <c r="G26" s="348">
        <v>1</v>
      </c>
      <c r="H26" s="21">
        <f t="shared" si="0"/>
        <v>5</v>
      </c>
      <c r="I26" s="97" t="s">
        <v>14</v>
      </c>
      <c r="J26" s="22">
        <v>10.24</v>
      </c>
      <c r="K26" s="131">
        <f t="shared" si="1"/>
        <v>51.2</v>
      </c>
    </row>
    <row r="27" spans="1:11" s="33" customFormat="1" x14ac:dyDescent="0.2">
      <c r="A27" s="105">
        <v>2230400559</v>
      </c>
      <c r="B27" s="21" t="s">
        <v>39</v>
      </c>
      <c r="C27" s="348">
        <v>1.5</v>
      </c>
      <c r="D27" s="348">
        <v>1</v>
      </c>
      <c r="E27" s="348">
        <v>1</v>
      </c>
      <c r="F27" s="348">
        <v>2</v>
      </c>
      <c r="G27" s="348">
        <v>0</v>
      </c>
      <c r="H27" s="21">
        <f t="shared" si="0"/>
        <v>5.5</v>
      </c>
      <c r="I27" s="98">
        <v>750</v>
      </c>
      <c r="J27" s="22">
        <v>20.48</v>
      </c>
      <c r="K27" s="131">
        <f t="shared" si="1"/>
        <v>112.64</v>
      </c>
    </row>
    <row r="28" spans="1:11" s="33" customFormat="1" x14ac:dyDescent="0.2">
      <c r="A28" s="105">
        <v>2230400097</v>
      </c>
      <c r="B28" s="21" t="s">
        <v>40</v>
      </c>
      <c r="C28" s="348">
        <v>1.5</v>
      </c>
      <c r="D28" s="348">
        <v>0.5</v>
      </c>
      <c r="E28" s="348">
        <v>2</v>
      </c>
      <c r="F28" s="348">
        <v>2</v>
      </c>
      <c r="G28" s="348">
        <v>1</v>
      </c>
      <c r="H28" s="21">
        <f t="shared" si="0"/>
        <v>7</v>
      </c>
      <c r="I28" s="97" t="s">
        <v>14</v>
      </c>
      <c r="J28" s="22">
        <v>11.5</v>
      </c>
      <c r="K28" s="131">
        <f t="shared" si="1"/>
        <v>80.5</v>
      </c>
    </row>
    <row r="29" spans="1:11" s="33" customFormat="1" ht="16" x14ac:dyDescent="0.2">
      <c r="A29" s="105">
        <v>2240100006</v>
      </c>
      <c r="B29" s="257" t="s">
        <v>41</v>
      </c>
      <c r="C29" s="348">
        <v>3</v>
      </c>
      <c r="D29" s="348">
        <v>1</v>
      </c>
      <c r="E29" s="348">
        <v>6</v>
      </c>
      <c r="F29" s="348">
        <v>4</v>
      </c>
      <c r="G29" s="348">
        <v>2</v>
      </c>
      <c r="H29" s="21">
        <f t="shared" si="0"/>
        <v>16</v>
      </c>
      <c r="I29" s="97" t="s">
        <v>29</v>
      </c>
      <c r="J29" s="22">
        <v>6.29</v>
      </c>
      <c r="K29" s="131">
        <f t="shared" si="1"/>
        <v>100.64</v>
      </c>
    </row>
    <row r="30" spans="1:11" s="33" customFormat="1" ht="16" x14ac:dyDescent="0.2">
      <c r="A30" s="105">
        <v>2240400080</v>
      </c>
      <c r="B30" s="257" t="s">
        <v>43</v>
      </c>
      <c r="C30" s="348">
        <v>3</v>
      </c>
      <c r="D30" s="348">
        <v>1</v>
      </c>
      <c r="E30" s="348">
        <v>8</v>
      </c>
      <c r="F30" s="348">
        <v>4</v>
      </c>
      <c r="G30" s="348">
        <v>1</v>
      </c>
      <c r="H30" s="21">
        <f t="shared" si="0"/>
        <v>17</v>
      </c>
      <c r="I30" s="97" t="s">
        <v>29</v>
      </c>
      <c r="J30" s="22">
        <v>6.74</v>
      </c>
      <c r="K30" s="131">
        <f t="shared" si="1"/>
        <v>114.58</v>
      </c>
    </row>
    <row r="31" spans="1:11" s="33" customFormat="1" x14ac:dyDescent="0.2">
      <c r="A31" s="105">
        <v>2240100004</v>
      </c>
      <c r="B31" s="235" t="s">
        <v>44</v>
      </c>
      <c r="C31" s="348">
        <v>3</v>
      </c>
      <c r="D31" s="348">
        <v>1</v>
      </c>
      <c r="E31" s="348">
        <v>9</v>
      </c>
      <c r="F31" s="348">
        <v>4</v>
      </c>
      <c r="G31" s="348">
        <v>1</v>
      </c>
      <c r="H31" s="21">
        <f t="shared" si="0"/>
        <v>18</v>
      </c>
      <c r="I31" s="97" t="s">
        <v>29</v>
      </c>
      <c r="J31" s="22">
        <v>6.29</v>
      </c>
      <c r="K31" s="131">
        <f t="shared" si="1"/>
        <v>113.22</v>
      </c>
    </row>
    <row r="32" spans="1:11" s="33" customFormat="1" x14ac:dyDescent="0.2">
      <c r="A32" s="105">
        <v>2240300043</v>
      </c>
      <c r="B32" s="235" t="s">
        <v>45</v>
      </c>
      <c r="C32" s="348">
        <v>2</v>
      </c>
      <c r="D32" s="348">
        <v>1</v>
      </c>
      <c r="E32" s="348">
        <v>2</v>
      </c>
      <c r="F32" s="348">
        <v>4</v>
      </c>
      <c r="G32" s="348">
        <v>1</v>
      </c>
      <c r="H32" s="21">
        <f t="shared" si="0"/>
        <v>10</v>
      </c>
      <c r="I32" s="98">
        <v>750</v>
      </c>
      <c r="J32" s="22">
        <v>7.01</v>
      </c>
      <c r="K32" s="163">
        <f t="shared" si="1"/>
        <v>70.099999999999994</v>
      </c>
    </row>
    <row r="33" spans="1:11" s="33" customFormat="1" ht="16" x14ac:dyDescent="0.2">
      <c r="A33" s="105">
        <v>2240050011</v>
      </c>
      <c r="B33" s="257" t="s">
        <v>46</v>
      </c>
      <c r="C33" s="348">
        <v>3</v>
      </c>
      <c r="D33" s="348">
        <v>0</v>
      </c>
      <c r="E33" s="348">
        <v>0</v>
      </c>
      <c r="F33" s="348">
        <v>6</v>
      </c>
      <c r="G33" s="348">
        <v>2</v>
      </c>
      <c r="H33" s="21">
        <f t="shared" si="0"/>
        <v>11</v>
      </c>
      <c r="I33" s="98">
        <v>750</v>
      </c>
      <c r="J33" s="22">
        <v>4.1500000000000004</v>
      </c>
      <c r="K33" s="131">
        <f t="shared" si="1"/>
        <v>45.650000000000006</v>
      </c>
    </row>
    <row r="34" spans="1:11" s="33" customFormat="1" x14ac:dyDescent="0.2">
      <c r="A34" s="105">
        <v>2230400093</v>
      </c>
      <c r="B34" s="235" t="s">
        <v>47</v>
      </c>
      <c r="C34" s="348">
        <v>2</v>
      </c>
      <c r="D34" s="348">
        <v>1</v>
      </c>
      <c r="E34" s="348">
        <v>11</v>
      </c>
      <c r="F34" s="348">
        <v>2</v>
      </c>
      <c r="G34" s="348">
        <v>0</v>
      </c>
      <c r="H34" s="21">
        <f t="shared" si="0"/>
        <v>16</v>
      </c>
      <c r="I34" s="97" t="s">
        <v>14</v>
      </c>
      <c r="J34" s="22">
        <v>27.82</v>
      </c>
      <c r="K34" s="106">
        <f t="shared" si="1"/>
        <v>445.12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77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97" si="8">SUM(E78)</f>
        <v>5.5</v>
      </c>
      <c r="I78" s="167" t="s">
        <v>85</v>
      </c>
      <c r="J78" s="23">
        <v>10.68</v>
      </c>
      <c r="K78" s="131">
        <f t="shared" ref="K78:K97" si="9">H78*J78</f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9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9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9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ref="K82:K83" si="10">H82*J82</f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10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9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9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9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9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ref="H90:H96" si="11">SUM(E90)</f>
        <v>10</v>
      </c>
      <c r="I90" s="167" t="s">
        <v>100</v>
      </c>
      <c r="J90" s="22">
        <v>80</v>
      </c>
      <c r="K90" s="131">
        <f t="shared" ref="K90:K95" si="12">H90*J90</f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11"/>
        <v>5</v>
      </c>
      <c r="I91" s="167" t="s">
        <v>85</v>
      </c>
      <c r="J91" s="22">
        <v>42.74</v>
      </c>
      <c r="K91" s="131">
        <f t="shared" si="12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ref="K92" si="13">H92*J92</f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12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12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11"/>
        <v>0</v>
      </c>
      <c r="I95" s="344" t="s">
        <v>85</v>
      </c>
      <c r="J95" s="338">
        <v>9.6</v>
      </c>
      <c r="K95" s="339">
        <f t="shared" si="12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11"/>
        <v>2</v>
      </c>
      <c r="I96" s="167" t="s">
        <v>85</v>
      </c>
      <c r="J96" s="22">
        <v>42.74</v>
      </c>
      <c r="K96" s="106">
        <f t="shared" si="9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9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ref="H98:H100" si="14">SUM(E98)</f>
        <v>5</v>
      </c>
      <c r="I98" s="167" t="s">
        <v>85</v>
      </c>
      <c r="J98" s="22">
        <v>32</v>
      </c>
      <c r="K98" s="106">
        <f t="shared" ref="K98:K101" si="15">H98*J98</f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14"/>
        <v>21</v>
      </c>
      <c r="I99" s="167" t="s">
        <v>85</v>
      </c>
      <c r="J99" s="22">
        <v>28.8</v>
      </c>
      <c r="K99" s="106">
        <f t="shared" si="15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14"/>
        <v>0</v>
      </c>
      <c r="I100" s="97" t="s">
        <v>14</v>
      </c>
      <c r="J100" s="22">
        <v>20</v>
      </c>
      <c r="K100" s="106">
        <f t="shared" si="15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ref="H101" si="16">SUM(E101)</f>
        <v>19</v>
      </c>
      <c r="I101" s="167" t="s">
        <v>85</v>
      </c>
      <c r="J101" s="22">
        <v>42.4</v>
      </c>
      <c r="K101" s="106">
        <f t="shared" si="15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22815.420000000006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17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17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17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17"/>
        <v>2.9583333333333335</v>
      </c>
      <c r="I113" s="256" t="s">
        <v>42</v>
      </c>
      <c r="J113" s="321">
        <v>23.25</v>
      </c>
      <c r="K113" s="323">
        <f t="shared" ref="K113" si="18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17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17"/>
        <v>2.4166666666666665</v>
      </c>
      <c r="I115" s="256" t="s">
        <v>42</v>
      </c>
      <c r="J115" s="321">
        <v>24.8</v>
      </c>
      <c r="K115" s="323">
        <f t="shared" ref="K115" si="19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17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17"/>
        <v>1.4583333333333333</v>
      </c>
      <c r="I117" s="256" t="s">
        <v>42</v>
      </c>
      <c r="J117" s="321">
        <v>33</v>
      </c>
      <c r="K117" s="323">
        <f t="shared" ref="K117:K130" si="20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17"/>
        <v>1.1666666666666667</v>
      </c>
      <c r="I118" s="320" t="s">
        <v>42</v>
      </c>
      <c r="J118" s="321">
        <v>33</v>
      </c>
      <c r="K118" s="322">
        <f t="shared" si="20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17"/>
        <v>0.625</v>
      </c>
      <c r="I119" s="320" t="s">
        <v>42</v>
      </c>
      <c r="J119" s="321">
        <v>29.4</v>
      </c>
      <c r="K119" s="322">
        <f t="shared" si="20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17"/>
        <v>3.875</v>
      </c>
      <c r="I120" s="256" t="s">
        <v>42</v>
      </c>
      <c r="J120" s="321">
        <v>26.95</v>
      </c>
      <c r="K120" s="323">
        <f t="shared" si="20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17"/>
        <v>6.041666666666667</v>
      </c>
      <c r="I121" s="256" t="s">
        <v>42</v>
      </c>
      <c r="J121" s="321">
        <v>26.95</v>
      </c>
      <c r="K121" s="323">
        <f t="shared" si="20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17"/>
        <v>1.4166666666666667</v>
      </c>
      <c r="I122" s="320" t="s">
        <v>42</v>
      </c>
      <c r="J122" s="321">
        <v>31.2</v>
      </c>
      <c r="K122" s="322">
        <f t="shared" si="20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17"/>
        <v>0.875</v>
      </c>
      <c r="I123" s="133" t="s">
        <v>42</v>
      </c>
      <c r="J123" s="50">
        <v>33</v>
      </c>
      <c r="K123" s="113">
        <f t="shared" si="20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17"/>
        <v>1.0416666666666667</v>
      </c>
      <c r="I124" s="133" t="s">
        <v>42</v>
      </c>
      <c r="J124" s="50">
        <v>48</v>
      </c>
      <c r="K124" s="113">
        <f t="shared" si="20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17"/>
        <v>1.5416666666666667</v>
      </c>
      <c r="I125" s="133" t="s">
        <v>42</v>
      </c>
      <c r="J125" s="50">
        <v>30</v>
      </c>
      <c r="K125" s="113">
        <f t="shared" si="20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17"/>
        <v>0.95833333333333337</v>
      </c>
      <c r="I126" s="134" t="s">
        <v>42</v>
      </c>
      <c r="J126" s="50">
        <v>25.6</v>
      </c>
      <c r="K126" s="113">
        <f t="shared" si="20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17"/>
        <v>3.5</v>
      </c>
      <c r="I127" s="133" t="s">
        <v>42</v>
      </c>
      <c r="J127" s="50">
        <v>30.22</v>
      </c>
      <c r="K127" s="113">
        <f t="shared" si="20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17"/>
        <v>1.3333333333333333</v>
      </c>
      <c r="I128" s="133" t="s">
        <v>42</v>
      </c>
      <c r="J128" s="50">
        <v>27</v>
      </c>
      <c r="K128" s="113">
        <f t="shared" si="20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ref="K129" si="21">H129*J129</f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17"/>
        <v>0.875</v>
      </c>
      <c r="I130" s="103" t="s">
        <v>42</v>
      </c>
      <c r="J130" s="117">
        <v>30</v>
      </c>
      <c r="K130" s="118">
        <f t="shared" si="20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8" si="22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23">D139+F139+G139</f>
        <v>14.5</v>
      </c>
      <c r="I139" s="134" t="s">
        <v>42</v>
      </c>
      <c r="J139" s="50">
        <v>26.65</v>
      </c>
      <c r="K139" s="111">
        <f t="shared" si="22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22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23"/>
        <v>1</v>
      </c>
      <c r="I141" s="134" t="s">
        <v>42</v>
      </c>
      <c r="J141" s="50">
        <v>30.85</v>
      </c>
      <c r="K141" s="111">
        <f t="shared" si="22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23"/>
        <v>15.5</v>
      </c>
      <c r="I142" s="134" t="s">
        <v>42</v>
      </c>
      <c r="J142" s="50">
        <v>23.25</v>
      </c>
      <c r="K142" s="111">
        <f t="shared" si="22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23"/>
        <v>19.5</v>
      </c>
      <c r="I143" s="134" t="s">
        <v>42</v>
      </c>
      <c r="J143" s="50">
        <v>31.4</v>
      </c>
      <c r="K143" s="111">
        <f t="shared" si="22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23"/>
        <v>17.5</v>
      </c>
      <c r="I144" s="134" t="s">
        <v>42</v>
      </c>
      <c r="J144" s="50">
        <v>24.8</v>
      </c>
      <c r="K144" s="111">
        <f t="shared" si="22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23"/>
        <v>0</v>
      </c>
      <c r="I146" s="134" t="s">
        <v>42</v>
      </c>
      <c r="J146" s="50">
        <v>33</v>
      </c>
      <c r="K146" s="111">
        <f t="shared" si="22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23"/>
        <v>0</v>
      </c>
      <c r="I147" s="134" t="s">
        <v>42</v>
      </c>
      <c r="J147" s="50">
        <v>33</v>
      </c>
      <c r="K147" s="111">
        <f t="shared" si="22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23"/>
        <v>0</v>
      </c>
      <c r="I148" s="134" t="s">
        <v>42</v>
      </c>
      <c r="J148" s="50">
        <v>29.4</v>
      </c>
      <c r="K148" s="111">
        <f t="shared" si="22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23"/>
        <v>18</v>
      </c>
      <c r="I149" s="134" t="s">
        <v>42</v>
      </c>
      <c r="J149" s="50">
        <v>26.95</v>
      </c>
      <c r="K149" s="111">
        <f t="shared" si="22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23"/>
        <v>12</v>
      </c>
      <c r="I150" s="134" t="s">
        <v>42</v>
      </c>
      <c r="J150" s="50">
        <v>26.95</v>
      </c>
      <c r="K150" s="111">
        <f t="shared" si="22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23"/>
        <v>1.5</v>
      </c>
      <c r="I151" s="135" t="s">
        <v>42</v>
      </c>
      <c r="J151" s="55">
        <v>31.2</v>
      </c>
      <c r="K151" s="119">
        <f t="shared" si="22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23"/>
        <v>3</v>
      </c>
      <c r="I152" s="134" t="s">
        <v>42</v>
      </c>
      <c r="J152" s="50">
        <v>33</v>
      </c>
      <c r="K152" s="111">
        <f t="shared" si="22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23"/>
        <v>1.75</v>
      </c>
      <c r="I153" s="134" t="s">
        <v>42</v>
      </c>
      <c r="J153" s="50">
        <v>48</v>
      </c>
      <c r="K153" s="111">
        <f t="shared" si="22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22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23"/>
        <v>4.5</v>
      </c>
      <c r="I155" s="134" t="s">
        <v>42</v>
      </c>
      <c r="J155" s="50">
        <v>25.6</v>
      </c>
      <c r="K155" s="111">
        <f t="shared" si="22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23"/>
        <v>10</v>
      </c>
      <c r="I156" s="134" t="s">
        <v>42</v>
      </c>
      <c r="J156" s="50">
        <v>30.22</v>
      </c>
      <c r="K156" s="111">
        <f t="shared" si="22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23"/>
        <v>3</v>
      </c>
      <c r="I157" s="96" t="s">
        <v>42</v>
      </c>
      <c r="J157" s="50">
        <v>27</v>
      </c>
      <c r="K157" s="113">
        <f t="shared" si="22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23"/>
        <v>3</v>
      </c>
      <c r="I158" s="133" t="s">
        <v>42</v>
      </c>
      <c r="J158" s="50">
        <v>30</v>
      </c>
      <c r="K158" s="113">
        <f t="shared" si="22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23"/>
        <v>2</v>
      </c>
      <c r="I159" s="133" t="s">
        <v>42</v>
      </c>
      <c r="J159" s="50">
        <v>36.450000000000003</v>
      </c>
      <c r="K159" s="113">
        <f t="shared" ref="K159" si="24">H159*J159</f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25">SUM(D163:G163)</f>
        <v>2</v>
      </c>
      <c r="I163" s="13" t="s">
        <v>134</v>
      </c>
      <c r="J163" s="50">
        <v>181.75</v>
      </c>
      <c r="K163" s="111">
        <f t="shared" ref="K163:K167" si="2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25"/>
        <v>4.5</v>
      </c>
      <c r="I164" s="13" t="s">
        <v>134</v>
      </c>
      <c r="J164" s="50">
        <v>206</v>
      </c>
      <c r="K164" s="111">
        <f t="shared" si="2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25"/>
        <v>3</v>
      </c>
      <c r="I165" s="13" t="s">
        <v>134</v>
      </c>
      <c r="J165" s="50">
        <v>210</v>
      </c>
      <c r="K165" s="111">
        <f t="shared" si="2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25"/>
        <v>2.5</v>
      </c>
      <c r="I167" s="125" t="s">
        <v>134</v>
      </c>
      <c r="J167" s="117">
        <v>184</v>
      </c>
      <c r="K167" s="126">
        <f t="shared" si="2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708E-A8B7-4673-AD27-90E6C1E27D53}">
  <sheetPr>
    <tabColor theme="2"/>
  </sheetPr>
  <dimension ref="A3:Y168"/>
  <sheetViews>
    <sheetView zoomScaleNormal="100" workbookViewId="0">
      <selection activeCell="R26" sqref="R26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CA74-49BA-4AE7-A2E5-7448508756E6}">
  <sheetPr>
    <tabColor theme="2"/>
  </sheetPr>
  <dimension ref="A3:Y168"/>
  <sheetViews>
    <sheetView zoomScaleNormal="100" workbookViewId="0">
      <selection activeCell="Q18" sqref="Q18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9F33-A2F5-494C-B945-D91E494E02F5}">
  <sheetPr>
    <tabColor theme="2"/>
  </sheetPr>
  <dimension ref="A3:Y168"/>
  <sheetViews>
    <sheetView zoomScaleNormal="100" workbookViewId="0">
      <selection activeCell="O29" sqref="O29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E4AE-AD6B-4392-8A56-B06002CCD31E}">
  <sheetPr>
    <tabColor theme="2"/>
  </sheetPr>
  <dimension ref="A3:Y168"/>
  <sheetViews>
    <sheetView zoomScaleNormal="100" workbookViewId="0">
      <selection activeCell="I30" sqref="I30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997B-CA32-40D2-992F-89659C42AE3D}">
  <sheetPr>
    <tabColor theme="2"/>
  </sheetPr>
  <dimension ref="A3:Y168"/>
  <sheetViews>
    <sheetView zoomScaleNormal="100" workbookViewId="0">
      <selection activeCell="M31" sqref="M31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E86E-0E79-4492-B42A-8ADA4BB6DB06}">
  <sheetPr>
    <tabColor theme="2"/>
  </sheetPr>
  <dimension ref="A3:Y168"/>
  <sheetViews>
    <sheetView zoomScaleNormal="100" workbookViewId="0">
      <selection activeCell="M23" sqref="M23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AEEB-8C95-4753-A97A-360B438FC314}">
  <sheetPr>
    <tabColor theme="2"/>
  </sheetPr>
  <dimension ref="A3:Y168"/>
  <sheetViews>
    <sheetView zoomScaleNormal="100" workbookViewId="0">
      <selection activeCell="O33" sqref="O33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13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15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17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18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20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21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22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23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24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25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26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27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28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32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35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36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37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39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40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41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43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44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45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46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47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49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50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51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52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53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56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57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58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59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60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61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62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63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64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65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66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67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68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69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70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71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72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73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74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75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76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77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78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108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79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81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101" si="7">H72*J72</f>
        <v>0</v>
      </c>
    </row>
    <row r="73" spans="1:11" s="33" customFormat="1" ht="16" x14ac:dyDescent="0.2">
      <c r="A73" s="165">
        <v>2230250006</v>
      </c>
      <c r="B73" s="311" t="s">
        <v>84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86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87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88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89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101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151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91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92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93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94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95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96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6" x14ac:dyDescent="0.2">
      <c r="A87" s="343">
        <v>2230450009</v>
      </c>
      <c r="B87" s="335" t="s">
        <v>96</v>
      </c>
      <c r="C87" s="89"/>
      <c r="D87" s="89"/>
      <c r="E87" s="89"/>
      <c r="F87" s="89"/>
      <c r="G87" s="340"/>
      <c r="H87" s="336">
        <f t="shared" si="8"/>
        <v>0</v>
      </c>
      <c r="I87" s="344" t="s">
        <v>14</v>
      </c>
      <c r="J87" s="345">
        <v>15.56</v>
      </c>
      <c r="K87" s="339">
        <f>H87*J87</f>
        <v>0</v>
      </c>
    </row>
    <row r="88" spans="1:11" s="33" customFormat="1" ht="15.75" hidden="1" customHeight="1" thickBot="1" x14ac:dyDescent="0.25">
      <c r="A88" s="165">
        <v>2230500038</v>
      </c>
      <c r="B88" s="311" t="s">
        <v>97</v>
      </c>
      <c r="C88" s="89"/>
      <c r="D88" s="89"/>
      <c r="E88" s="236">
        <v>6</v>
      </c>
      <c r="F88" s="89"/>
      <c r="G88" s="340"/>
      <c r="H88" s="231">
        <f t="shared" si="8"/>
        <v>6</v>
      </c>
      <c r="I88" s="167" t="s">
        <v>85</v>
      </c>
      <c r="J88" s="23">
        <v>15.09</v>
      </c>
      <c r="K88" s="131">
        <f t="shared" si="7"/>
        <v>90.539999999999992</v>
      </c>
    </row>
    <row r="89" spans="1:11" s="33" customFormat="1" ht="16" x14ac:dyDescent="0.2">
      <c r="A89" s="105">
        <v>2230550024</v>
      </c>
      <c r="B89" s="66" t="s">
        <v>98</v>
      </c>
      <c r="C89" s="69"/>
      <c r="D89" s="69"/>
      <c r="E89" s="348">
        <v>29</v>
      </c>
      <c r="F89" s="69"/>
      <c r="G89" s="258"/>
      <c r="H89" s="231">
        <f t="shared" si="8"/>
        <v>29</v>
      </c>
      <c r="I89" s="167" t="s">
        <v>85</v>
      </c>
      <c r="J89" s="22">
        <v>16</v>
      </c>
      <c r="K89" s="131">
        <f t="shared" si="7"/>
        <v>464</v>
      </c>
    </row>
    <row r="90" spans="1:11" s="33" customFormat="1" ht="17" thickBot="1" x14ac:dyDescent="0.25">
      <c r="A90" s="105">
        <v>2230550182</v>
      </c>
      <c r="B90" s="66" t="s">
        <v>99</v>
      </c>
      <c r="C90" s="69"/>
      <c r="D90" s="69"/>
      <c r="E90" s="348">
        <v>10</v>
      </c>
      <c r="F90" s="69"/>
      <c r="G90" s="258"/>
      <c r="H90" s="231">
        <f t="shared" si="8"/>
        <v>10</v>
      </c>
      <c r="I90" s="167" t="s">
        <v>100</v>
      </c>
      <c r="J90" s="22">
        <v>80</v>
      </c>
      <c r="K90" s="131">
        <f t="shared" si="7"/>
        <v>800</v>
      </c>
    </row>
    <row r="91" spans="1:11" s="33" customFormat="1" ht="15" hidden="1" customHeight="1" x14ac:dyDescent="0.2">
      <c r="A91" s="105">
        <v>2230650123</v>
      </c>
      <c r="B91" s="66" t="s">
        <v>101</v>
      </c>
      <c r="C91" s="69"/>
      <c r="D91" s="69"/>
      <c r="E91" s="348">
        <v>5</v>
      </c>
      <c r="F91" s="69"/>
      <c r="G91" s="258"/>
      <c r="H91" s="231">
        <f t="shared" si="8"/>
        <v>5</v>
      </c>
      <c r="I91" s="167" t="s">
        <v>85</v>
      </c>
      <c r="J91" s="22">
        <v>42.74</v>
      </c>
      <c r="K91" s="131">
        <f t="shared" si="7"/>
        <v>213.70000000000002</v>
      </c>
    </row>
    <row r="92" spans="1:11" s="33" customFormat="1" ht="15" hidden="1" customHeight="1" x14ac:dyDescent="0.2">
      <c r="A92" s="105">
        <v>2230650147</v>
      </c>
      <c r="B92" s="66" t="s">
        <v>156</v>
      </c>
      <c r="C92" s="69"/>
      <c r="D92" s="69"/>
      <c r="E92" s="348">
        <v>0</v>
      </c>
      <c r="F92" s="69"/>
      <c r="G92" s="258"/>
      <c r="H92" s="231"/>
      <c r="I92" s="167" t="s">
        <v>85</v>
      </c>
      <c r="J92" s="22">
        <v>8</v>
      </c>
      <c r="K92" s="131">
        <f t="shared" si="7"/>
        <v>0</v>
      </c>
    </row>
    <row r="93" spans="1:11" s="33" customFormat="1" ht="16" x14ac:dyDescent="0.2">
      <c r="A93" s="105">
        <v>2230650147</v>
      </c>
      <c r="B93" s="66" t="s">
        <v>102</v>
      </c>
      <c r="C93" s="69"/>
      <c r="D93" s="69"/>
      <c r="E93" s="348">
        <v>7</v>
      </c>
      <c r="F93" s="69"/>
      <c r="G93" s="258"/>
      <c r="H93" s="312">
        <v>7</v>
      </c>
      <c r="I93" s="167" t="s">
        <v>85</v>
      </c>
      <c r="J93" s="22">
        <v>7.99</v>
      </c>
      <c r="K93" s="106">
        <f t="shared" si="7"/>
        <v>55.93</v>
      </c>
    </row>
    <row r="94" spans="1:11" s="33" customFormat="1" ht="16" x14ac:dyDescent="0.2">
      <c r="A94" s="334">
        <v>2230650384</v>
      </c>
      <c r="B94" s="335" t="s">
        <v>102</v>
      </c>
      <c r="C94" s="69"/>
      <c r="D94" s="69"/>
      <c r="E94" s="69">
        <v>0</v>
      </c>
      <c r="F94" s="69"/>
      <c r="G94" s="258"/>
      <c r="H94" s="336">
        <v>0</v>
      </c>
      <c r="I94" s="341" t="s">
        <v>14</v>
      </c>
      <c r="J94" s="338">
        <v>4.3</v>
      </c>
      <c r="K94" s="339">
        <f t="shared" si="7"/>
        <v>0</v>
      </c>
    </row>
    <row r="95" spans="1:11" s="33" customFormat="1" ht="16" x14ac:dyDescent="0.2">
      <c r="A95" s="334">
        <v>2230650248</v>
      </c>
      <c r="B95" s="335" t="s">
        <v>103</v>
      </c>
      <c r="C95" s="69"/>
      <c r="D95" s="69"/>
      <c r="E95" s="69">
        <v>0</v>
      </c>
      <c r="F95" s="69"/>
      <c r="G95" s="258"/>
      <c r="H95" s="336">
        <f t="shared" si="8"/>
        <v>0</v>
      </c>
      <c r="I95" s="344" t="s">
        <v>85</v>
      </c>
      <c r="J95" s="338">
        <v>9.6</v>
      </c>
      <c r="K95" s="339">
        <f t="shared" si="7"/>
        <v>0</v>
      </c>
    </row>
    <row r="96" spans="1:11" s="33" customFormat="1" ht="16" x14ac:dyDescent="0.2">
      <c r="A96" s="105">
        <v>2230650123</v>
      </c>
      <c r="B96" s="66" t="s">
        <v>101</v>
      </c>
      <c r="C96" s="69"/>
      <c r="D96" s="69"/>
      <c r="E96" s="348">
        <v>2</v>
      </c>
      <c r="F96" s="69"/>
      <c r="G96" s="258"/>
      <c r="H96" s="231">
        <f t="shared" si="8"/>
        <v>2</v>
      </c>
      <c r="I96" s="167" t="s">
        <v>85</v>
      </c>
      <c r="J96" s="22">
        <v>42.74</v>
      </c>
      <c r="K96" s="106">
        <f t="shared" si="7"/>
        <v>85.48</v>
      </c>
    </row>
    <row r="97" spans="1:11" s="33" customFormat="1" ht="17.25" customHeight="1" x14ac:dyDescent="0.2">
      <c r="A97" s="105">
        <v>2230700299</v>
      </c>
      <c r="B97" s="66" t="s">
        <v>106</v>
      </c>
      <c r="C97" s="69"/>
      <c r="D97" s="69"/>
      <c r="E97" s="348">
        <v>27</v>
      </c>
      <c r="F97" s="69"/>
      <c r="G97" s="258"/>
      <c r="H97" s="231">
        <f t="shared" si="8"/>
        <v>27</v>
      </c>
      <c r="I97" s="167" t="s">
        <v>85</v>
      </c>
      <c r="J97" s="22">
        <v>40</v>
      </c>
      <c r="K97" s="106">
        <f t="shared" si="7"/>
        <v>1080</v>
      </c>
    </row>
    <row r="98" spans="1:11" s="33" customFormat="1" ht="14.25" customHeight="1" x14ac:dyDescent="0.2">
      <c r="A98" s="105">
        <v>2230700698</v>
      </c>
      <c r="B98" s="66" t="s">
        <v>107</v>
      </c>
      <c r="C98" s="69"/>
      <c r="D98" s="69"/>
      <c r="E98" s="348">
        <v>5</v>
      </c>
      <c r="F98" s="69"/>
      <c r="G98" s="258"/>
      <c r="H98" s="231">
        <f t="shared" si="8"/>
        <v>5</v>
      </c>
      <c r="I98" s="167" t="s">
        <v>85</v>
      </c>
      <c r="J98" s="22">
        <v>32</v>
      </c>
      <c r="K98" s="106">
        <f t="shared" si="7"/>
        <v>160</v>
      </c>
    </row>
    <row r="99" spans="1:11" s="33" customFormat="1" ht="16" hidden="1" x14ac:dyDescent="0.2">
      <c r="A99" s="105">
        <v>2230650216</v>
      </c>
      <c r="B99" s="66" t="s">
        <v>104</v>
      </c>
      <c r="C99" s="69"/>
      <c r="D99" s="69"/>
      <c r="E99" s="348">
        <v>21</v>
      </c>
      <c r="F99" s="69"/>
      <c r="G99" s="258"/>
      <c r="H99" s="309">
        <f t="shared" si="8"/>
        <v>21</v>
      </c>
      <c r="I99" s="167" t="s">
        <v>85</v>
      </c>
      <c r="J99" s="22">
        <v>28.8</v>
      </c>
      <c r="K99" s="106">
        <f t="shared" si="7"/>
        <v>604.80000000000007</v>
      </c>
    </row>
    <row r="100" spans="1:11" s="33" customFormat="1" ht="18" customHeight="1" x14ac:dyDescent="0.2">
      <c r="A100" s="324">
        <v>2230650052</v>
      </c>
      <c r="B100" s="66" t="s">
        <v>149</v>
      </c>
      <c r="C100" s="69"/>
      <c r="D100" s="69"/>
      <c r="E100" s="348">
        <v>0</v>
      </c>
      <c r="F100" s="69"/>
      <c r="G100" s="258"/>
      <c r="H100" s="231">
        <f t="shared" si="8"/>
        <v>0</v>
      </c>
      <c r="I100" s="97" t="s">
        <v>14</v>
      </c>
      <c r="J100" s="22">
        <v>20</v>
      </c>
      <c r="K100" s="106">
        <f t="shared" si="7"/>
        <v>0</v>
      </c>
    </row>
    <row r="101" spans="1:11" s="33" customFormat="1" ht="16" x14ac:dyDescent="0.2">
      <c r="A101" s="105">
        <v>2230700700</v>
      </c>
      <c r="B101" s="66" t="s">
        <v>105</v>
      </c>
      <c r="C101" s="69"/>
      <c r="D101" s="69"/>
      <c r="E101" s="348">
        <v>19</v>
      </c>
      <c r="F101" s="69"/>
      <c r="G101" s="258"/>
      <c r="H101" s="231">
        <f t="shared" si="8"/>
        <v>19</v>
      </c>
      <c r="I101" s="167" t="s">
        <v>85</v>
      </c>
      <c r="J101" s="22">
        <v>42.4</v>
      </c>
      <c r="K101" s="106">
        <f t="shared" si="7"/>
        <v>805.6</v>
      </c>
    </row>
    <row r="102" spans="1:11" ht="15" customHeight="1" x14ac:dyDescent="0.2">
      <c r="A102" s="105">
        <v>2230700016</v>
      </c>
      <c r="B102" s="66" t="s">
        <v>145</v>
      </c>
      <c r="C102" s="69"/>
      <c r="D102" s="69"/>
      <c r="E102" s="348">
        <v>7</v>
      </c>
      <c r="F102" s="69"/>
      <c r="G102" s="258"/>
      <c r="H102" s="231">
        <f>SUM(E102)</f>
        <v>7</v>
      </c>
      <c r="I102" s="97" t="s">
        <v>85</v>
      </c>
      <c r="J102" s="22">
        <v>19.190000000000001</v>
      </c>
      <c r="K102" s="106">
        <f>H102*J102</f>
        <v>134.33000000000001</v>
      </c>
    </row>
    <row r="103" spans="1:11" ht="16" x14ac:dyDescent="0.2">
      <c r="A103" s="105">
        <v>2230700480</v>
      </c>
      <c r="B103" s="66" t="s">
        <v>109</v>
      </c>
      <c r="C103" s="69"/>
      <c r="D103" s="69"/>
      <c r="E103" s="348">
        <v>28</v>
      </c>
      <c r="F103" s="69"/>
      <c r="G103" s="69"/>
      <c r="H103" s="21">
        <f>SUM(E103)</f>
        <v>28</v>
      </c>
      <c r="I103" s="261" t="s">
        <v>85</v>
      </c>
      <c r="J103" s="22">
        <v>12</v>
      </c>
      <c r="K103" s="106">
        <f>H103*J103</f>
        <v>336</v>
      </c>
    </row>
    <row r="104" spans="1:11" s="33" customFormat="1" ht="16" x14ac:dyDescent="0.2">
      <c r="A104" s="107">
        <v>2230700056</v>
      </c>
      <c r="B104" s="66" t="s">
        <v>142</v>
      </c>
      <c r="C104" s="69"/>
      <c r="D104" s="69"/>
      <c r="E104" s="348">
        <v>23</v>
      </c>
      <c r="F104" s="69"/>
      <c r="G104" s="69"/>
      <c r="H104" s="21">
        <f>SUM(E104)</f>
        <v>23</v>
      </c>
      <c r="I104" s="261" t="s">
        <v>85</v>
      </c>
      <c r="J104" s="22">
        <v>44.24</v>
      </c>
      <c r="K104" s="106">
        <f>H104*J104</f>
        <v>1017.5200000000001</v>
      </c>
    </row>
    <row r="105" spans="1:11" s="33" customFormat="1" ht="17" thickBot="1" x14ac:dyDescent="0.25">
      <c r="A105" s="108">
        <v>2230400763</v>
      </c>
      <c r="B105" s="313" t="s">
        <v>110</v>
      </c>
      <c r="C105" s="120"/>
      <c r="D105" s="120"/>
      <c r="E105" s="355">
        <v>4</v>
      </c>
      <c r="F105" s="120"/>
      <c r="G105" s="120"/>
      <c r="H105" s="232">
        <f>SUM(E105)</f>
        <v>4</v>
      </c>
      <c r="I105" s="325" t="s">
        <v>14</v>
      </c>
      <c r="J105" s="164">
        <v>10</v>
      </c>
      <c r="K105" s="314">
        <f>H105*J105</f>
        <v>40</v>
      </c>
    </row>
    <row r="106" spans="1:11" s="33" customFormat="1" ht="16" x14ac:dyDescent="0.2">
      <c r="A106" s="79"/>
      <c r="H106" s="44" t="s">
        <v>111</v>
      </c>
      <c r="I106"/>
      <c r="J106" s="127"/>
      <c r="K106" s="128">
        <f>SUM(K6:K66,K67:K89,K67:K105)</f>
        <v>18437.555000000008</v>
      </c>
    </row>
    <row r="107" spans="1:11" s="33" customFormat="1" ht="16" thickBot="1" x14ac:dyDescent="0.25">
      <c r="A107" s="80"/>
      <c r="B107"/>
      <c r="C107"/>
      <c r="D107"/>
      <c r="E107"/>
      <c r="F107"/>
      <c r="G107"/>
      <c r="H107"/>
      <c r="I107"/>
      <c r="J107"/>
      <c r="K107"/>
    </row>
    <row r="108" spans="1:11" s="33" customFormat="1" ht="49" thickBot="1" x14ac:dyDescent="0.25">
      <c r="A108" s="67" t="s">
        <v>2</v>
      </c>
      <c r="B108" s="45" t="s">
        <v>157</v>
      </c>
      <c r="C108" s="1" t="s">
        <v>4</v>
      </c>
      <c r="D108" s="2" t="s">
        <v>5</v>
      </c>
      <c r="E108" s="149" t="s">
        <v>6</v>
      </c>
      <c r="F108" s="3" t="s">
        <v>7</v>
      </c>
      <c r="G108" s="46" t="s">
        <v>8</v>
      </c>
      <c r="H108" s="47" t="s">
        <v>9</v>
      </c>
      <c r="I108" s="48" t="s">
        <v>10</v>
      </c>
      <c r="J108" s="7" t="s">
        <v>113</v>
      </c>
      <c r="K108" s="8" t="s">
        <v>12</v>
      </c>
    </row>
    <row r="109" spans="1:11" s="33" customFormat="1" ht="16" x14ac:dyDescent="0.2">
      <c r="A109" s="315">
        <v>2210100007</v>
      </c>
      <c r="B109" s="181" t="s">
        <v>114</v>
      </c>
      <c r="C109" s="347">
        <v>57</v>
      </c>
      <c r="D109" s="347">
        <v>29</v>
      </c>
      <c r="E109" s="152"/>
      <c r="F109" s="347">
        <v>18</v>
      </c>
      <c r="G109" s="347">
        <v>24</v>
      </c>
      <c r="H109" s="304">
        <f>SUM(C109:D109,F109:G109)/24</f>
        <v>5.333333333333333</v>
      </c>
      <c r="I109" s="316" t="s">
        <v>42</v>
      </c>
      <c r="J109" s="317">
        <v>25.5</v>
      </c>
      <c r="K109" s="318">
        <f>H109*J109</f>
        <v>136</v>
      </c>
    </row>
    <row r="110" spans="1:11" s="33" customFormat="1" ht="16" x14ac:dyDescent="0.2">
      <c r="A110" s="319">
        <v>2210100009</v>
      </c>
      <c r="B110" s="83" t="s">
        <v>115</v>
      </c>
      <c r="C110" s="348">
        <v>36</v>
      </c>
      <c r="D110" s="348">
        <v>11</v>
      </c>
      <c r="E110" s="25"/>
      <c r="F110" s="348">
        <v>88</v>
      </c>
      <c r="G110" s="348">
        <v>24</v>
      </c>
      <c r="H110" s="236">
        <f t="shared" ref="H110:H130" si="9">SUM(C110:D110,F110:G110)/24</f>
        <v>6.625</v>
      </c>
      <c r="I110" s="320" t="s">
        <v>42</v>
      </c>
      <c r="J110" s="321">
        <v>26.65</v>
      </c>
      <c r="K110" s="322">
        <f>H110*J110</f>
        <v>176.55624999999998</v>
      </c>
    </row>
    <row r="111" spans="1:11" s="33" customFormat="1" ht="16" x14ac:dyDescent="0.2">
      <c r="A111" s="319">
        <v>2210100021</v>
      </c>
      <c r="B111" s="83" t="s">
        <v>116</v>
      </c>
      <c r="C111" s="348">
        <v>62</v>
      </c>
      <c r="D111" s="348">
        <v>23</v>
      </c>
      <c r="E111" s="25"/>
      <c r="F111" s="348">
        <v>22</v>
      </c>
      <c r="G111" s="348">
        <v>24</v>
      </c>
      <c r="H111" s="236">
        <f t="shared" si="9"/>
        <v>5.458333333333333</v>
      </c>
      <c r="I111" s="320" t="s">
        <v>42</v>
      </c>
      <c r="J111" s="321">
        <v>25.5</v>
      </c>
      <c r="K111" s="322">
        <f>H111*J111</f>
        <v>139.1875</v>
      </c>
    </row>
    <row r="112" spans="1:11" s="33" customFormat="1" ht="16" x14ac:dyDescent="0.2">
      <c r="A112" s="319">
        <v>2210100141</v>
      </c>
      <c r="B112" s="83" t="s">
        <v>117</v>
      </c>
      <c r="C112" s="348">
        <v>26</v>
      </c>
      <c r="D112" s="348">
        <v>16</v>
      </c>
      <c r="E112" s="25"/>
      <c r="F112" s="348">
        <v>10</v>
      </c>
      <c r="G112" s="348">
        <v>2</v>
      </c>
      <c r="H112" s="236">
        <f t="shared" si="9"/>
        <v>2.25</v>
      </c>
      <c r="I112" s="320" t="s">
        <v>42</v>
      </c>
      <c r="J112" s="321">
        <v>30.85</v>
      </c>
      <c r="K112" s="322">
        <f>H112*J112</f>
        <v>69.412500000000009</v>
      </c>
    </row>
    <row r="113" spans="1:11" s="33" customFormat="1" ht="16" x14ac:dyDescent="0.2">
      <c r="A113" s="319">
        <v>2210100268</v>
      </c>
      <c r="B113" s="83" t="s">
        <v>118</v>
      </c>
      <c r="C113" s="348">
        <v>22</v>
      </c>
      <c r="D113" s="348">
        <v>13</v>
      </c>
      <c r="E113" s="25"/>
      <c r="F113" s="348">
        <v>24</v>
      </c>
      <c r="G113" s="352">
        <v>12</v>
      </c>
      <c r="H113" s="236">
        <f t="shared" si="9"/>
        <v>2.9583333333333335</v>
      </c>
      <c r="I113" s="256" t="s">
        <v>42</v>
      </c>
      <c r="J113" s="321">
        <v>23.25</v>
      </c>
      <c r="K113" s="323">
        <f t="shared" ref="K113" si="10">H113*J113</f>
        <v>68.78125</v>
      </c>
    </row>
    <row r="114" spans="1:11" s="33" customFormat="1" ht="16" x14ac:dyDescent="0.2">
      <c r="A114" s="319">
        <v>2210150006</v>
      </c>
      <c r="B114" s="83" t="s">
        <v>119</v>
      </c>
      <c r="C114" s="348">
        <v>41</v>
      </c>
      <c r="D114" s="348">
        <v>25</v>
      </c>
      <c r="E114" s="25"/>
      <c r="F114" s="348">
        <v>21</v>
      </c>
      <c r="G114" s="348">
        <v>11</v>
      </c>
      <c r="H114" s="236">
        <f t="shared" si="9"/>
        <v>4.083333333333333</v>
      </c>
      <c r="I114" s="320" t="s">
        <v>42</v>
      </c>
      <c r="J114" s="321">
        <v>31.4</v>
      </c>
      <c r="K114" s="322">
        <f>H114*J114</f>
        <v>128.21666666666664</v>
      </c>
    </row>
    <row r="115" spans="1:11" s="33" customFormat="1" ht="16" x14ac:dyDescent="0.2">
      <c r="A115" s="319">
        <v>2210150029</v>
      </c>
      <c r="B115" s="83" t="s">
        <v>120</v>
      </c>
      <c r="C115" s="348">
        <v>21</v>
      </c>
      <c r="D115" s="348">
        <v>23</v>
      </c>
      <c r="E115" s="25"/>
      <c r="F115" s="348">
        <v>10</v>
      </c>
      <c r="G115" s="352">
        <v>4</v>
      </c>
      <c r="H115" s="236">
        <f t="shared" si="9"/>
        <v>2.4166666666666665</v>
      </c>
      <c r="I115" s="256" t="s">
        <v>42</v>
      </c>
      <c r="J115" s="321">
        <v>24.8</v>
      </c>
      <c r="K115" s="323">
        <f t="shared" ref="K115" si="11">H115*J115</f>
        <v>59.93333333333333</v>
      </c>
    </row>
    <row r="116" spans="1:11" s="33" customFormat="1" ht="16" x14ac:dyDescent="0.2">
      <c r="A116" s="319">
        <v>2210150264</v>
      </c>
      <c r="B116" s="83" t="s">
        <v>144</v>
      </c>
      <c r="C116" s="348">
        <v>20</v>
      </c>
      <c r="D116" s="348">
        <v>9</v>
      </c>
      <c r="E116" s="25"/>
      <c r="F116" s="348">
        <v>10</v>
      </c>
      <c r="G116" s="352">
        <v>12</v>
      </c>
      <c r="H116" s="236">
        <f t="shared" si="9"/>
        <v>2.125</v>
      </c>
      <c r="I116" s="256" t="s">
        <v>42</v>
      </c>
      <c r="J116" s="321">
        <v>31.4</v>
      </c>
      <c r="K116" s="323">
        <f>H116*J116</f>
        <v>66.724999999999994</v>
      </c>
    </row>
    <row r="117" spans="1:11" s="33" customFormat="1" ht="16" x14ac:dyDescent="0.2">
      <c r="A117" s="319">
        <v>2230310104</v>
      </c>
      <c r="B117" s="83" t="s">
        <v>121</v>
      </c>
      <c r="C117" s="348">
        <v>7</v>
      </c>
      <c r="D117" s="348">
        <v>9</v>
      </c>
      <c r="E117" s="25"/>
      <c r="F117" s="348">
        <v>12</v>
      </c>
      <c r="G117" s="352">
        <v>7</v>
      </c>
      <c r="H117" s="236">
        <f t="shared" si="9"/>
        <v>1.4583333333333333</v>
      </c>
      <c r="I117" s="256" t="s">
        <v>42</v>
      </c>
      <c r="J117" s="321">
        <v>33</v>
      </c>
      <c r="K117" s="323">
        <f t="shared" ref="K117:K130" si="12">H117*J117</f>
        <v>48.125</v>
      </c>
    </row>
    <row r="118" spans="1:11" ht="16" x14ac:dyDescent="0.2">
      <c r="A118" s="319">
        <v>2230310089</v>
      </c>
      <c r="B118" s="83" t="s">
        <v>122</v>
      </c>
      <c r="C118" s="348">
        <v>10</v>
      </c>
      <c r="D118" s="348">
        <v>3</v>
      </c>
      <c r="E118" s="25"/>
      <c r="F118" s="348">
        <v>10</v>
      </c>
      <c r="G118" s="348">
        <v>5</v>
      </c>
      <c r="H118" s="236">
        <f t="shared" si="9"/>
        <v>1.1666666666666667</v>
      </c>
      <c r="I118" s="320" t="s">
        <v>42</v>
      </c>
      <c r="J118" s="321">
        <v>33</v>
      </c>
      <c r="K118" s="322">
        <f t="shared" si="12"/>
        <v>38.5</v>
      </c>
    </row>
    <row r="119" spans="1:11" ht="16" x14ac:dyDescent="0.2">
      <c r="A119" s="319">
        <v>2010400126</v>
      </c>
      <c r="B119" s="83" t="s">
        <v>123</v>
      </c>
      <c r="C119" s="348">
        <v>7</v>
      </c>
      <c r="D119" s="348">
        <v>1</v>
      </c>
      <c r="E119" s="25"/>
      <c r="F119" s="348">
        <v>5</v>
      </c>
      <c r="G119" s="348">
        <v>2</v>
      </c>
      <c r="H119" s="236">
        <f t="shared" si="9"/>
        <v>0.625</v>
      </c>
      <c r="I119" s="320" t="s">
        <v>42</v>
      </c>
      <c r="J119" s="321">
        <v>29.4</v>
      </c>
      <c r="K119" s="322">
        <f t="shared" si="12"/>
        <v>18.375</v>
      </c>
    </row>
    <row r="120" spans="1:11" ht="16" x14ac:dyDescent="0.2">
      <c r="A120" s="319">
        <v>2210100016</v>
      </c>
      <c r="B120" s="83" t="s">
        <v>124</v>
      </c>
      <c r="C120" s="348">
        <v>22</v>
      </c>
      <c r="D120" s="348">
        <v>24</v>
      </c>
      <c r="E120" s="25"/>
      <c r="F120" s="348">
        <v>23</v>
      </c>
      <c r="G120" s="352">
        <v>24</v>
      </c>
      <c r="H120" s="236">
        <f t="shared" si="9"/>
        <v>3.875</v>
      </c>
      <c r="I120" s="256" t="s">
        <v>42</v>
      </c>
      <c r="J120" s="321">
        <v>26.95</v>
      </c>
      <c r="K120" s="323">
        <f t="shared" si="12"/>
        <v>104.43124999999999</v>
      </c>
    </row>
    <row r="121" spans="1:11" ht="16" x14ac:dyDescent="0.2">
      <c r="A121" s="319">
        <v>2210100018</v>
      </c>
      <c r="B121" s="83" t="s">
        <v>125</v>
      </c>
      <c r="C121" s="348">
        <v>61</v>
      </c>
      <c r="D121" s="348">
        <v>19</v>
      </c>
      <c r="E121" s="25"/>
      <c r="F121" s="348">
        <v>51</v>
      </c>
      <c r="G121" s="352">
        <v>14</v>
      </c>
      <c r="H121" s="236">
        <f t="shared" si="9"/>
        <v>6.041666666666667</v>
      </c>
      <c r="I121" s="256" t="s">
        <v>42</v>
      </c>
      <c r="J121" s="321">
        <v>26.95</v>
      </c>
      <c r="K121" s="323">
        <f t="shared" si="12"/>
        <v>162.82291666666666</v>
      </c>
    </row>
    <row r="122" spans="1:11" ht="16" x14ac:dyDescent="0.2">
      <c r="A122" s="319">
        <v>2240750012</v>
      </c>
      <c r="B122" s="83" t="s">
        <v>126</v>
      </c>
      <c r="C122" s="348">
        <v>6</v>
      </c>
      <c r="D122" s="348">
        <v>11</v>
      </c>
      <c r="E122" s="25"/>
      <c r="F122" s="348">
        <v>9</v>
      </c>
      <c r="G122" s="348">
        <v>8</v>
      </c>
      <c r="H122" s="236">
        <f t="shared" si="9"/>
        <v>1.4166666666666667</v>
      </c>
      <c r="I122" s="320" t="s">
        <v>42</v>
      </c>
      <c r="J122" s="321">
        <v>31.2</v>
      </c>
      <c r="K122" s="322">
        <f t="shared" si="12"/>
        <v>44.2</v>
      </c>
    </row>
    <row r="123" spans="1:11" ht="16" x14ac:dyDescent="0.2">
      <c r="A123" s="112">
        <v>2210100074</v>
      </c>
      <c r="B123" s="84" t="s">
        <v>127</v>
      </c>
      <c r="C123" s="348">
        <v>3</v>
      </c>
      <c r="D123" s="348">
        <v>8</v>
      </c>
      <c r="E123" s="25"/>
      <c r="F123" s="348">
        <v>4</v>
      </c>
      <c r="G123" s="348">
        <v>6</v>
      </c>
      <c r="H123" s="9">
        <f t="shared" si="9"/>
        <v>0.875</v>
      </c>
      <c r="I123" s="133" t="s">
        <v>42</v>
      </c>
      <c r="J123" s="50">
        <v>33</v>
      </c>
      <c r="K123" s="113">
        <f t="shared" si="12"/>
        <v>28.875</v>
      </c>
    </row>
    <row r="124" spans="1:11" ht="16" x14ac:dyDescent="0.2">
      <c r="A124" s="112">
        <v>2210100091</v>
      </c>
      <c r="B124" s="84" t="s">
        <v>128</v>
      </c>
      <c r="C124" s="348">
        <v>7</v>
      </c>
      <c r="D124" s="348">
        <v>10</v>
      </c>
      <c r="E124" s="25"/>
      <c r="F124" s="348">
        <v>6</v>
      </c>
      <c r="G124" s="348">
        <v>2</v>
      </c>
      <c r="H124" s="9">
        <f t="shared" si="9"/>
        <v>1.0416666666666667</v>
      </c>
      <c r="I124" s="133" t="s">
        <v>42</v>
      </c>
      <c r="J124" s="50">
        <v>48</v>
      </c>
      <c r="K124" s="113">
        <f t="shared" si="12"/>
        <v>50</v>
      </c>
    </row>
    <row r="125" spans="1:11" ht="16" x14ac:dyDescent="0.2">
      <c r="A125" s="112">
        <v>2210100151</v>
      </c>
      <c r="B125" s="84" t="s">
        <v>143</v>
      </c>
      <c r="C125" s="348">
        <v>6</v>
      </c>
      <c r="D125" s="348">
        <v>15</v>
      </c>
      <c r="E125" s="25"/>
      <c r="F125" s="348">
        <v>12</v>
      </c>
      <c r="G125" s="348">
        <v>4</v>
      </c>
      <c r="H125" s="9">
        <f t="shared" si="9"/>
        <v>1.5416666666666667</v>
      </c>
      <c r="I125" s="133" t="s">
        <v>42</v>
      </c>
      <c r="J125" s="50">
        <v>30</v>
      </c>
      <c r="K125" s="113">
        <f t="shared" si="12"/>
        <v>46.25</v>
      </c>
    </row>
    <row r="126" spans="1:11" ht="16" x14ac:dyDescent="0.2">
      <c r="A126" s="112">
        <v>2210101187</v>
      </c>
      <c r="B126" s="92" t="s">
        <v>146</v>
      </c>
      <c r="C126" s="348">
        <v>9</v>
      </c>
      <c r="D126" s="348">
        <v>6</v>
      </c>
      <c r="E126" s="25"/>
      <c r="F126" s="348">
        <v>6</v>
      </c>
      <c r="G126" s="348">
        <v>2</v>
      </c>
      <c r="H126" s="9">
        <f t="shared" si="9"/>
        <v>0.95833333333333337</v>
      </c>
      <c r="I126" s="134" t="s">
        <v>42</v>
      </c>
      <c r="J126" s="50">
        <v>25.6</v>
      </c>
      <c r="K126" s="113">
        <f t="shared" si="12"/>
        <v>24.533333333333335</v>
      </c>
    </row>
    <row r="127" spans="1:11" ht="16" x14ac:dyDescent="0.2">
      <c r="A127" s="112">
        <v>2210150007</v>
      </c>
      <c r="B127" s="84" t="s">
        <v>129</v>
      </c>
      <c r="C127" s="348">
        <v>41</v>
      </c>
      <c r="D127" s="348">
        <v>21</v>
      </c>
      <c r="E127" s="25"/>
      <c r="F127" s="348">
        <v>10</v>
      </c>
      <c r="G127" s="348">
        <v>12</v>
      </c>
      <c r="H127" s="9">
        <f t="shared" si="9"/>
        <v>3.5</v>
      </c>
      <c r="I127" s="133" t="s">
        <v>42</v>
      </c>
      <c r="J127" s="50">
        <v>30.22</v>
      </c>
      <c r="K127" s="113">
        <f t="shared" si="12"/>
        <v>105.77</v>
      </c>
    </row>
    <row r="128" spans="1:11" ht="16" x14ac:dyDescent="0.2">
      <c r="A128" s="112">
        <v>2210300010</v>
      </c>
      <c r="B128" s="84" t="s">
        <v>130</v>
      </c>
      <c r="C128" s="348">
        <v>8</v>
      </c>
      <c r="D128" s="348">
        <v>16</v>
      </c>
      <c r="E128" s="25"/>
      <c r="F128" s="348">
        <v>4</v>
      </c>
      <c r="G128" s="348">
        <v>4</v>
      </c>
      <c r="H128" s="9">
        <f t="shared" si="9"/>
        <v>1.3333333333333333</v>
      </c>
      <c r="I128" s="133" t="s">
        <v>42</v>
      </c>
      <c r="J128" s="50">
        <v>27</v>
      </c>
      <c r="K128" s="113">
        <f t="shared" si="12"/>
        <v>36</v>
      </c>
    </row>
    <row r="129" spans="1:11" ht="16" x14ac:dyDescent="0.2">
      <c r="A129" s="114">
        <v>2230300258</v>
      </c>
      <c r="B129" s="92" t="s">
        <v>158</v>
      </c>
      <c r="C129" s="349">
        <v>2</v>
      </c>
      <c r="D129" s="349">
        <v>2</v>
      </c>
      <c r="E129" s="346"/>
      <c r="F129" s="348">
        <v>2</v>
      </c>
      <c r="G129" s="348">
        <v>2</v>
      </c>
      <c r="H129" s="9">
        <f>SUM(C129:D129,F129:G129)/24</f>
        <v>0.33333333333333331</v>
      </c>
      <c r="I129" s="133" t="s">
        <v>42</v>
      </c>
      <c r="J129" s="50">
        <v>36.450000000000003</v>
      </c>
      <c r="K129" s="113">
        <f t="shared" si="12"/>
        <v>12.15</v>
      </c>
    </row>
    <row r="130" spans="1:11" ht="17" thickBot="1" x14ac:dyDescent="0.25">
      <c r="A130" s="115">
        <v>2210150092</v>
      </c>
      <c r="B130" s="116" t="s">
        <v>137</v>
      </c>
      <c r="C130" s="355">
        <v>6</v>
      </c>
      <c r="D130" s="355">
        <v>5</v>
      </c>
      <c r="E130" s="120"/>
      <c r="F130" s="355">
        <v>6</v>
      </c>
      <c r="G130" s="357">
        <v>4</v>
      </c>
      <c r="H130" s="121">
        <f t="shared" si="9"/>
        <v>0.875</v>
      </c>
      <c r="I130" s="103" t="s">
        <v>42</v>
      </c>
      <c r="J130" s="117">
        <v>30</v>
      </c>
      <c r="K130" s="118">
        <f t="shared" si="12"/>
        <v>26.25</v>
      </c>
    </row>
    <row r="136" spans="1:11" ht="16" thickBot="1" x14ac:dyDescent="0.25">
      <c r="A136" s="143"/>
      <c r="B136" s="144" t="s">
        <v>0</v>
      </c>
      <c r="C136" s="145"/>
      <c r="D136" s="145"/>
      <c r="E136" s="145"/>
      <c r="F136" s="145"/>
      <c r="G136" s="145"/>
      <c r="H136" s="145"/>
      <c r="I136" s="146" t="s">
        <v>1</v>
      </c>
      <c r="J136" s="147">
        <f>J70</f>
        <v>46113</v>
      </c>
      <c r="K136" s="148"/>
    </row>
    <row r="137" spans="1:11" ht="49" thickBot="1" x14ac:dyDescent="0.25">
      <c r="A137" s="67" t="s">
        <v>2</v>
      </c>
      <c r="B137" s="88" t="s">
        <v>131</v>
      </c>
      <c r="C137" s="183" t="s">
        <v>4</v>
      </c>
      <c r="D137" s="2" t="s">
        <v>5</v>
      </c>
      <c r="E137" s="149" t="s">
        <v>6</v>
      </c>
      <c r="F137" s="3" t="s">
        <v>7</v>
      </c>
      <c r="G137" s="4" t="s">
        <v>8</v>
      </c>
      <c r="H137" s="5" t="s">
        <v>9</v>
      </c>
      <c r="I137" s="6" t="s">
        <v>10</v>
      </c>
      <c r="J137" s="7" t="s">
        <v>113</v>
      </c>
      <c r="K137" s="8" t="s">
        <v>12</v>
      </c>
    </row>
    <row r="138" spans="1:11" ht="16" x14ac:dyDescent="0.2">
      <c r="A138" s="150">
        <v>2210100007</v>
      </c>
      <c r="B138" s="181" t="s">
        <v>114</v>
      </c>
      <c r="C138" s="153"/>
      <c r="D138" s="70">
        <v>9.5</v>
      </c>
      <c r="E138" s="153"/>
      <c r="F138" s="70">
        <v>4</v>
      </c>
      <c r="G138" s="71">
        <v>3</v>
      </c>
      <c r="H138" s="72">
        <f>D138+F138+G138</f>
        <v>16.5</v>
      </c>
      <c r="I138" s="333" t="s">
        <v>42</v>
      </c>
      <c r="J138" s="155">
        <v>25.5</v>
      </c>
      <c r="K138" s="156">
        <f t="shared" ref="K138:K159" si="13">H138*J138</f>
        <v>420.75</v>
      </c>
    </row>
    <row r="139" spans="1:11" ht="16" x14ac:dyDescent="0.2">
      <c r="A139" s="110">
        <v>2210100009</v>
      </c>
      <c r="B139" s="83" t="s">
        <v>115</v>
      </c>
      <c r="C139" s="69"/>
      <c r="D139" s="16">
        <v>10.5</v>
      </c>
      <c r="E139" s="69"/>
      <c r="F139" s="16">
        <v>2</v>
      </c>
      <c r="G139" s="17">
        <v>2</v>
      </c>
      <c r="H139" s="9">
        <f t="shared" ref="H139:H159" si="14">D139+F139+G139</f>
        <v>14.5</v>
      </c>
      <c r="I139" s="134" t="s">
        <v>42</v>
      </c>
      <c r="J139" s="50">
        <v>26.65</v>
      </c>
      <c r="K139" s="111">
        <f t="shared" si="13"/>
        <v>386.42499999999995</v>
      </c>
    </row>
    <row r="140" spans="1:11" ht="16" x14ac:dyDescent="0.2">
      <c r="A140" s="114">
        <v>2210100021</v>
      </c>
      <c r="B140" s="83" t="s">
        <v>116</v>
      </c>
      <c r="C140" s="69"/>
      <c r="D140" s="16">
        <v>10</v>
      </c>
      <c r="E140" s="69"/>
      <c r="F140" s="16">
        <v>3</v>
      </c>
      <c r="G140" s="17">
        <v>3</v>
      </c>
      <c r="H140" s="9"/>
      <c r="I140" s="134" t="s">
        <v>42</v>
      </c>
      <c r="J140" s="50">
        <v>25.5</v>
      </c>
      <c r="K140" s="111">
        <f t="shared" si="13"/>
        <v>0</v>
      </c>
    </row>
    <row r="141" spans="1:11" ht="16" x14ac:dyDescent="0.2">
      <c r="A141" s="112">
        <v>2210100141</v>
      </c>
      <c r="B141" s="83" t="s">
        <v>117</v>
      </c>
      <c r="C141" s="69"/>
      <c r="D141" s="16">
        <v>0.5</v>
      </c>
      <c r="E141" s="69"/>
      <c r="F141" s="16">
        <v>0</v>
      </c>
      <c r="G141" s="17">
        <v>0.5</v>
      </c>
      <c r="H141" s="9">
        <f t="shared" si="14"/>
        <v>1</v>
      </c>
      <c r="I141" s="134" t="s">
        <v>42</v>
      </c>
      <c r="J141" s="50">
        <v>30.85</v>
      </c>
      <c r="K141" s="111">
        <f t="shared" si="13"/>
        <v>30.85</v>
      </c>
    </row>
    <row r="142" spans="1:11" ht="16" x14ac:dyDescent="0.2">
      <c r="A142" s="112">
        <v>2210100268</v>
      </c>
      <c r="B142" s="83" t="s">
        <v>118</v>
      </c>
      <c r="C142" s="69"/>
      <c r="D142" s="16">
        <v>12</v>
      </c>
      <c r="E142" s="69"/>
      <c r="F142" s="16">
        <v>2</v>
      </c>
      <c r="G142" s="17">
        <v>1.5</v>
      </c>
      <c r="H142" s="9">
        <f t="shared" si="14"/>
        <v>15.5</v>
      </c>
      <c r="I142" s="134" t="s">
        <v>42</v>
      </c>
      <c r="J142" s="50">
        <v>23.25</v>
      </c>
      <c r="K142" s="111">
        <f t="shared" si="13"/>
        <v>360.375</v>
      </c>
    </row>
    <row r="143" spans="1:11" ht="16" x14ac:dyDescent="0.2">
      <c r="A143" s="112">
        <v>2210150006</v>
      </c>
      <c r="B143" s="83" t="s">
        <v>119</v>
      </c>
      <c r="C143" s="69"/>
      <c r="D143" s="16">
        <v>9.5</v>
      </c>
      <c r="E143" s="69"/>
      <c r="F143" s="16">
        <v>8</v>
      </c>
      <c r="G143" s="17">
        <v>2</v>
      </c>
      <c r="H143" s="9">
        <f t="shared" si="14"/>
        <v>19.5</v>
      </c>
      <c r="I143" s="134" t="s">
        <v>42</v>
      </c>
      <c r="J143" s="50">
        <v>31.4</v>
      </c>
      <c r="K143" s="111">
        <f t="shared" si="13"/>
        <v>612.29999999999995</v>
      </c>
    </row>
    <row r="144" spans="1:11" ht="16" x14ac:dyDescent="0.2">
      <c r="A144" s="112">
        <v>2210150029</v>
      </c>
      <c r="B144" s="83" t="s">
        <v>120</v>
      </c>
      <c r="C144" s="69"/>
      <c r="D144" s="16">
        <v>2</v>
      </c>
      <c r="E144" s="69"/>
      <c r="F144" s="16">
        <v>15</v>
      </c>
      <c r="G144" s="17">
        <v>0.5</v>
      </c>
      <c r="H144" s="9">
        <f t="shared" si="14"/>
        <v>17.5</v>
      </c>
      <c r="I144" s="134" t="s">
        <v>42</v>
      </c>
      <c r="J144" s="50">
        <v>24.8</v>
      </c>
      <c r="K144" s="111">
        <f t="shared" si="13"/>
        <v>434</v>
      </c>
    </row>
    <row r="145" spans="1:11" ht="16" x14ac:dyDescent="0.2">
      <c r="A145" s="112">
        <v>2210150264</v>
      </c>
      <c r="B145" s="84" t="s">
        <v>144</v>
      </c>
      <c r="C145" s="69"/>
      <c r="D145" s="16">
        <v>5.5</v>
      </c>
      <c r="E145" s="69"/>
      <c r="F145" s="16">
        <v>4</v>
      </c>
      <c r="G145" s="17">
        <v>0.5</v>
      </c>
      <c r="H145" s="9">
        <f>D145+F145+G145</f>
        <v>10</v>
      </c>
      <c r="I145" s="134" t="s">
        <v>42</v>
      </c>
      <c r="J145" s="50">
        <v>31.4</v>
      </c>
      <c r="K145" s="111">
        <f>H145*J145</f>
        <v>314</v>
      </c>
    </row>
    <row r="146" spans="1:11" ht="16" x14ac:dyDescent="0.2">
      <c r="A146" s="112">
        <v>2230310104</v>
      </c>
      <c r="B146" s="84" t="s">
        <v>121</v>
      </c>
      <c r="C146" s="69"/>
      <c r="D146" s="16">
        <v>0</v>
      </c>
      <c r="E146" s="69"/>
      <c r="F146" s="16">
        <v>0</v>
      </c>
      <c r="G146" s="17">
        <v>0</v>
      </c>
      <c r="H146" s="9">
        <f t="shared" si="14"/>
        <v>0</v>
      </c>
      <c r="I146" s="134" t="s">
        <v>42</v>
      </c>
      <c r="J146" s="50">
        <v>33</v>
      </c>
      <c r="K146" s="111">
        <f t="shared" si="13"/>
        <v>0</v>
      </c>
    </row>
    <row r="147" spans="1:11" ht="16" x14ac:dyDescent="0.2">
      <c r="A147" s="112">
        <v>2230310089</v>
      </c>
      <c r="B147" s="84" t="s">
        <v>122</v>
      </c>
      <c r="C147" s="69"/>
      <c r="D147" s="16">
        <v>0</v>
      </c>
      <c r="E147" s="69"/>
      <c r="F147" s="16">
        <v>0</v>
      </c>
      <c r="G147" s="17">
        <v>0</v>
      </c>
      <c r="H147" s="9">
        <f t="shared" si="14"/>
        <v>0</v>
      </c>
      <c r="I147" s="134" t="s">
        <v>42</v>
      </c>
      <c r="J147" s="50">
        <v>33</v>
      </c>
      <c r="K147" s="111">
        <f t="shared" si="13"/>
        <v>0</v>
      </c>
    </row>
    <row r="148" spans="1:11" ht="16" x14ac:dyDescent="0.2">
      <c r="A148" s="112">
        <v>2010400126</v>
      </c>
      <c r="B148" s="84" t="s">
        <v>123</v>
      </c>
      <c r="C148" s="69"/>
      <c r="D148" s="16">
        <v>0</v>
      </c>
      <c r="E148" s="69"/>
      <c r="F148" s="16">
        <v>0</v>
      </c>
      <c r="G148" s="17">
        <v>0</v>
      </c>
      <c r="H148" s="9">
        <f t="shared" si="14"/>
        <v>0</v>
      </c>
      <c r="I148" s="134" t="s">
        <v>42</v>
      </c>
      <c r="J148" s="50">
        <v>29.4</v>
      </c>
      <c r="K148" s="111">
        <f t="shared" si="13"/>
        <v>0</v>
      </c>
    </row>
    <row r="149" spans="1:11" ht="16" x14ac:dyDescent="0.2">
      <c r="A149" s="112">
        <v>2210100016</v>
      </c>
      <c r="B149" s="85" t="s">
        <v>124</v>
      </c>
      <c r="C149" s="69"/>
      <c r="D149" s="16">
        <v>13</v>
      </c>
      <c r="E149" s="69"/>
      <c r="F149" s="16">
        <v>2</v>
      </c>
      <c r="G149" s="17">
        <v>3</v>
      </c>
      <c r="H149" s="9">
        <f t="shared" si="14"/>
        <v>18</v>
      </c>
      <c r="I149" s="134" t="s">
        <v>42</v>
      </c>
      <c r="J149" s="50">
        <v>26.95</v>
      </c>
      <c r="K149" s="111">
        <f t="shared" si="13"/>
        <v>485.09999999999997</v>
      </c>
    </row>
    <row r="150" spans="1:11" ht="16" x14ac:dyDescent="0.2">
      <c r="A150" s="112">
        <v>2210100018</v>
      </c>
      <c r="B150" s="84" t="s">
        <v>125</v>
      </c>
      <c r="C150" s="69"/>
      <c r="D150" s="16">
        <v>5.5</v>
      </c>
      <c r="E150" s="69"/>
      <c r="F150" s="16">
        <v>3.5</v>
      </c>
      <c r="G150" s="17">
        <v>3</v>
      </c>
      <c r="H150" s="9">
        <f t="shared" si="14"/>
        <v>12</v>
      </c>
      <c r="I150" s="134" t="s">
        <v>42</v>
      </c>
      <c r="J150" s="50">
        <v>26.95</v>
      </c>
      <c r="K150" s="111">
        <f t="shared" si="13"/>
        <v>323.39999999999998</v>
      </c>
    </row>
    <row r="151" spans="1:11" ht="16" x14ac:dyDescent="0.2">
      <c r="A151" s="112">
        <v>2210100053</v>
      </c>
      <c r="B151" s="84" t="s">
        <v>126</v>
      </c>
      <c r="C151" s="90"/>
      <c r="D151" s="53">
        <v>0.5</v>
      </c>
      <c r="E151" s="90"/>
      <c r="F151" s="53">
        <v>0.5</v>
      </c>
      <c r="G151" s="54">
        <v>0.5</v>
      </c>
      <c r="H151" s="9">
        <f t="shared" si="14"/>
        <v>1.5</v>
      </c>
      <c r="I151" s="135" t="s">
        <v>42</v>
      </c>
      <c r="J151" s="55">
        <v>31.2</v>
      </c>
      <c r="K151" s="119">
        <f t="shared" si="13"/>
        <v>46.8</v>
      </c>
    </row>
    <row r="152" spans="1:11" ht="16" x14ac:dyDescent="0.2">
      <c r="A152" s="110">
        <v>2210100074</v>
      </c>
      <c r="B152" s="91" t="s">
        <v>127</v>
      </c>
      <c r="C152" s="69"/>
      <c r="D152" s="16">
        <v>1</v>
      </c>
      <c r="E152" s="69"/>
      <c r="F152" s="16">
        <v>1</v>
      </c>
      <c r="G152" s="17">
        <v>1</v>
      </c>
      <c r="H152" s="9">
        <f t="shared" si="14"/>
        <v>3</v>
      </c>
      <c r="I152" s="134" t="s">
        <v>42</v>
      </c>
      <c r="J152" s="50">
        <v>33</v>
      </c>
      <c r="K152" s="111">
        <f t="shared" si="13"/>
        <v>99</v>
      </c>
    </row>
    <row r="153" spans="1:11" ht="16" x14ac:dyDescent="0.2">
      <c r="A153" s="112">
        <v>2210100091</v>
      </c>
      <c r="B153" s="84" t="s">
        <v>128</v>
      </c>
      <c r="C153" s="69"/>
      <c r="D153" s="16">
        <v>0.75</v>
      </c>
      <c r="E153" s="69"/>
      <c r="F153" s="16">
        <v>0</v>
      </c>
      <c r="G153" s="17">
        <v>1</v>
      </c>
      <c r="H153" s="9">
        <f t="shared" si="14"/>
        <v>1.75</v>
      </c>
      <c r="I153" s="134" t="s">
        <v>42</v>
      </c>
      <c r="J153" s="50">
        <v>48</v>
      </c>
      <c r="K153" s="111">
        <f t="shared" si="13"/>
        <v>84</v>
      </c>
    </row>
    <row r="154" spans="1:11" ht="16" x14ac:dyDescent="0.2">
      <c r="A154" s="112">
        <v>2210100151</v>
      </c>
      <c r="B154" s="84" t="s">
        <v>143</v>
      </c>
      <c r="C154" s="69"/>
      <c r="D154" s="16">
        <v>2</v>
      </c>
      <c r="E154" s="69"/>
      <c r="F154" s="16">
        <v>0.5</v>
      </c>
      <c r="G154" s="17">
        <v>1</v>
      </c>
      <c r="H154" s="9">
        <f>D154+F154+G154</f>
        <v>3.5</v>
      </c>
      <c r="I154" s="134" t="s">
        <v>42</v>
      </c>
      <c r="J154" s="50">
        <v>30</v>
      </c>
      <c r="K154" s="111">
        <f t="shared" si="13"/>
        <v>105</v>
      </c>
    </row>
    <row r="155" spans="1:11" ht="16" x14ac:dyDescent="0.2">
      <c r="A155" s="112">
        <v>2210101187</v>
      </c>
      <c r="B155" s="92" t="s">
        <v>146</v>
      </c>
      <c r="C155" s="69"/>
      <c r="D155" s="16">
        <v>1.5</v>
      </c>
      <c r="E155" s="69"/>
      <c r="F155" s="16">
        <v>3</v>
      </c>
      <c r="G155" s="17">
        <v>0</v>
      </c>
      <c r="H155" s="9">
        <f t="shared" si="14"/>
        <v>4.5</v>
      </c>
      <c r="I155" s="134" t="s">
        <v>42</v>
      </c>
      <c r="J155" s="50">
        <v>25.6</v>
      </c>
      <c r="K155" s="111">
        <f t="shared" si="13"/>
        <v>115.2</v>
      </c>
    </row>
    <row r="156" spans="1:11" ht="16" hidden="1" x14ac:dyDescent="0.2">
      <c r="A156" s="112">
        <v>2210300010</v>
      </c>
      <c r="B156" s="92" t="s">
        <v>129</v>
      </c>
      <c r="C156" s="69"/>
      <c r="D156" s="16">
        <v>4.5</v>
      </c>
      <c r="E156" s="69"/>
      <c r="F156" s="16">
        <v>5</v>
      </c>
      <c r="G156" s="17">
        <v>0.5</v>
      </c>
      <c r="H156" s="9">
        <f t="shared" si="14"/>
        <v>10</v>
      </c>
      <c r="I156" s="134" t="s">
        <v>42</v>
      </c>
      <c r="J156" s="50">
        <v>30.22</v>
      </c>
      <c r="K156" s="111">
        <f t="shared" si="13"/>
        <v>302.2</v>
      </c>
    </row>
    <row r="157" spans="1:11" ht="16" x14ac:dyDescent="0.2">
      <c r="A157" s="112">
        <v>2210300010</v>
      </c>
      <c r="B157" s="84" t="s">
        <v>130</v>
      </c>
      <c r="C157" s="69"/>
      <c r="D157" s="16">
        <v>1</v>
      </c>
      <c r="E157" s="69"/>
      <c r="F157" s="16">
        <v>2</v>
      </c>
      <c r="G157" s="17">
        <v>0</v>
      </c>
      <c r="H157" s="15">
        <f t="shared" si="14"/>
        <v>3</v>
      </c>
      <c r="I157" s="96" t="s">
        <v>42</v>
      </c>
      <c r="J157" s="50">
        <v>27</v>
      </c>
      <c r="K157" s="113">
        <f t="shared" si="13"/>
        <v>81</v>
      </c>
    </row>
    <row r="158" spans="1:11" ht="16" x14ac:dyDescent="0.2">
      <c r="A158" s="112">
        <v>2210150092</v>
      </c>
      <c r="B158" s="84" t="s">
        <v>137</v>
      </c>
      <c r="C158" s="69"/>
      <c r="D158" s="16">
        <v>1</v>
      </c>
      <c r="E158" s="69"/>
      <c r="F158" s="16">
        <v>1</v>
      </c>
      <c r="G158" s="16">
        <v>1</v>
      </c>
      <c r="H158" s="15">
        <f t="shared" si="14"/>
        <v>3</v>
      </c>
      <c r="I158" s="133" t="s">
        <v>42</v>
      </c>
      <c r="J158" s="50">
        <v>30</v>
      </c>
      <c r="K158" s="113">
        <f t="shared" si="13"/>
        <v>90</v>
      </c>
    </row>
    <row r="159" spans="1:11" ht="17" thickBot="1" x14ac:dyDescent="0.25">
      <c r="A159" s="112">
        <v>2230300258</v>
      </c>
      <c r="B159" s="84" t="s">
        <v>154</v>
      </c>
      <c r="C159" s="69"/>
      <c r="D159" s="16">
        <v>2</v>
      </c>
      <c r="E159" s="69"/>
      <c r="F159" s="16">
        <v>0</v>
      </c>
      <c r="G159" s="16">
        <v>0</v>
      </c>
      <c r="H159" s="15">
        <f t="shared" si="14"/>
        <v>2</v>
      </c>
      <c r="I159" s="133" t="s">
        <v>42</v>
      </c>
      <c r="J159" s="50">
        <v>36.450000000000003</v>
      </c>
      <c r="K159" s="113">
        <f t="shared" si="13"/>
        <v>72.900000000000006</v>
      </c>
    </row>
    <row r="160" spans="1:11" ht="49" thickBot="1" x14ac:dyDescent="0.25">
      <c r="A160" s="67" t="s">
        <v>2</v>
      </c>
      <c r="B160" s="88" t="s">
        <v>155</v>
      </c>
      <c r="C160" s="183" t="s">
        <v>4</v>
      </c>
      <c r="D160" s="2" t="s">
        <v>5</v>
      </c>
      <c r="E160" s="149" t="s">
        <v>6</v>
      </c>
      <c r="F160" s="3" t="s">
        <v>7</v>
      </c>
      <c r="G160" s="4" t="s">
        <v>8</v>
      </c>
      <c r="H160" s="5" t="s">
        <v>9</v>
      </c>
      <c r="I160" s="6" t="s">
        <v>10</v>
      </c>
      <c r="J160" s="7" t="s">
        <v>113</v>
      </c>
      <c r="K160" s="8" t="s">
        <v>12</v>
      </c>
    </row>
    <row r="161" spans="1:11" x14ac:dyDescent="0.2">
      <c r="A161" s="110">
        <v>2210200045</v>
      </c>
      <c r="B161" s="94" t="s">
        <v>125</v>
      </c>
      <c r="C161" s="42"/>
      <c r="D161" s="10">
        <v>1</v>
      </c>
      <c r="E161" s="89"/>
      <c r="F161" s="89"/>
      <c r="G161" s="10">
        <v>2</v>
      </c>
      <c r="H161" s="9">
        <f>SUM(D161:G161)</f>
        <v>3</v>
      </c>
      <c r="I161" s="9" t="s">
        <v>134</v>
      </c>
      <c r="J161" s="49">
        <v>181.75</v>
      </c>
      <c r="K161" s="111">
        <f>H161*J161</f>
        <v>545.25</v>
      </c>
    </row>
    <row r="162" spans="1:11" hidden="1" x14ac:dyDescent="0.2">
      <c r="A162" s="110">
        <v>2210200262</v>
      </c>
      <c r="B162" s="94" t="s">
        <v>139</v>
      </c>
      <c r="C162" s="42"/>
      <c r="D162" s="10">
        <v>2</v>
      </c>
      <c r="E162" s="89"/>
      <c r="F162" s="89"/>
      <c r="G162" s="11">
        <v>0</v>
      </c>
      <c r="H162" s="12">
        <f>SUM(C162:G162)</f>
        <v>2</v>
      </c>
      <c r="I162" s="13" t="s">
        <v>134</v>
      </c>
      <c r="J162" s="49">
        <v>148.75</v>
      </c>
      <c r="K162" s="111">
        <f>H162*J162</f>
        <v>297.5</v>
      </c>
    </row>
    <row r="163" spans="1:11" x14ac:dyDescent="0.2">
      <c r="A163" s="112">
        <v>2210200072</v>
      </c>
      <c r="B163" s="95" t="s">
        <v>124</v>
      </c>
      <c r="C163" s="25"/>
      <c r="D163" s="16">
        <v>2</v>
      </c>
      <c r="E163" s="69"/>
      <c r="F163" s="69"/>
      <c r="G163" s="17">
        <v>0</v>
      </c>
      <c r="H163" s="12">
        <f t="shared" ref="H163:H167" si="15">SUM(D163:G163)</f>
        <v>2</v>
      </c>
      <c r="I163" s="13" t="s">
        <v>134</v>
      </c>
      <c r="J163" s="50">
        <v>181.75</v>
      </c>
      <c r="K163" s="111">
        <f t="shared" ref="K163:K167" si="16">H163*J163</f>
        <v>363.5</v>
      </c>
    </row>
    <row r="164" spans="1:11" x14ac:dyDescent="0.2">
      <c r="A164" s="122">
        <v>2210200083</v>
      </c>
      <c r="B164" s="95" t="s">
        <v>135</v>
      </c>
      <c r="C164" s="25"/>
      <c r="D164" s="16">
        <v>2.5</v>
      </c>
      <c r="E164" s="69"/>
      <c r="F164" s="69"/>
      <c r="G164" s="17">
        <v>2</v>
      </c>
      <c r="H164" s="12">
        <f t="shared" si="15"/>
        <v>4.5</v>
      </c>
      <c r="I164" s="13" t="s">
        <v>134</v>
      </c>
      <c r="J164" s="50">
        <v>206</v>
      </c>
      <c r="K164" s="111">
        <f t="shared" si="16"/>
        <v>927</v>
      </c>
    </row>
    <row r="165" spans="1:11" x14ac:dyDescent="0.2">
      <c r="A165" s="112">
        <v>2210200345</v>
      </c>
      <c r="B165" s="95" t="s">
        <v>136</v>
      </c>
      <c r="C165" s="25"/>
      <c r="D165" s="16">
        <v>2</v>
      </c>
      <c r="E165" s="69"/>
      <c r="F165" s="69"/>
      <c r="G165" s="17">
        <v>1</v>
      </c>
      <c r="H165" s="12">
        <f t="shared" si="15"/>
        <v>3</v>
      </c>
      <c r="I165" s="13" t="s">
        <v>134</v>
      </c>
      <c r="J165" s="50">
        <v>210</v>
      </c>
      <c r="K165" s="111">
        <f t="shared" si="16"/>
        <v>630</v>
      </c>
    </row>
    <row r="166" spans="1:11" x14ac:dyDescent="0.2">
      <c r="A166" s="157"/>
      <c r="B166" s="158"/>
      <c r="C166" s="25"/>
      <c r="D166" s="25"/>
      <c r="E166" s="25"/>
      <c r="F166" s="25"/>
      <c r="G166" s="39"/>
      <c r="H166" s="159"/>
      <c r="I166" s="160"/>
      <c r="J166" s="161"/>
      <c r="K166" s="162"/>
    </row>
    <row r="167" spans="1:11" ht="16" thickBot="1" x14ac:dyDescent="0.25">
      <c r="A167" s="123">
        <v>2210200485</v>
      </c>
      <c r="B167" s="124" t="s">
        <v>140</v>
      </c>
      <c r="C167" s="109"/>
      <c r="D167" s="76">
        <v>2.5</v>
      </c>
      <c r="E167" s="120"/>
      <c r="F167" s="120"/>
      <c r="G167" s="77">
        <v>0</v>
      </c>
      <c r="H167" s="100">
        <f t="shared" si="15"/>
        <v>2.5</v>
      </c>
      <c r="I167" s="125" t="s">
        <v>134</v>
      </c>
      <c r="J167" s="117">
        <v>184</v>
      </c>
      <c r="K167" s="126">
        <f t="shared" si="16"/>
        <v>460</v>
      </c>
    </row>
    <row r="168" spans="1:11" ht="16" x14ac:dyDescent="0.2">
      <c r="H168" s="57" t="s">
        <v>138</v>
      </c>
      <c r="I168" s="58"/>
      <c r="J168" s="136"/>
      <c r="K168" s="136">
        <f>SUM(K109:K130,K138:K159,K161:K167)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4560-DEC9-4B3D-ABFA-9B97C5FC2A04}">
  <sheetPr>
    <tabColor theme="2"/>
  </sheetPr>
  <dimension ref="A3:Y164"/>
  <sheetViews>
    <sheetView tabSelected="1" zoomScale="150" zoomScaleNormal="150" workbookViewId="0">
      <selection activeCell="Q157" sqref="Q157"/>
    </sheetView>
  </sheetViews>
  <sheetFormatPr baseColWidth="10" defaultColWidth="8.83203125" defaultRowHeight="15" x14ac:dyDescent="0.2"/>
  <cols>
    <col min="1" max="1" width="13.5" style="80" bestFit="1" customWidth="1"/>
    <col min="2" max="2" width="26" bestFit="1" customWidth="1"/>
    <col min="8" max="8" width="12.5" bestFit="1" customWidth="1"/>
    <col min="9" max="9" width="11" bestFit="1" customWidth="1"/>
    <col min="10" max="10" width="9.1640625" bestFit="1" customWidth="1"/>
    <col min="11" max="11" width="14.1640625" customWidth="1"/>
    <col min="15" max="15" width="11.5" bestFit="1" customWidth="1"/>
  </cols>
  <sheetData>
    <row r="3" spans="1:11" s="33" customFormat="1" ht="16" thickBot="1" x14ac:dyDescent="0.25"/>
    <row r="4" spans="1:11" s="33" customFormat="1" ht="16" thickBot="1" x14ac:dyDescent="0.25">
      <c r="A4" s="137"/>
      <c r="B4" s="138" t="s">
        <v>0</v>
      </c>
      <c r="C4" s="139"/>
      <c r="D4" s="139"/>
      <c r="E4" s="139"/>
      <c r="F4" s="139"/>
      <c r="G4" s="139"/>
      <c r="H4" s="139"/>
      <c r="I4" s="140" t="s">
        <v>1</v>
      </c>
      <c r="J4" s="141">
        <v>46113</v>
      </c>
      <c r="K4" s="142"/>
    </row>
    <row r="5" spans="1:11" s="33" customFormat="1" ht="49" thickBot="1" x14ac:dyDescent="0.25">
      <c r="A5" s="67" t="s">
        <v>2</v>
      </c>
      <c r="B5" s="47" t="s">
        <v>3</v>
      </c>
      <c r="C5" s="1" t="s">
        <v>4</v>
      </c>
      <c r="D5" s="2" t="s">
        <v>5</v>
      </c>
      <c r="E5" s="2" t="s">
        <v>6</v>
      </c>
      <c r="F5" s="3" t="s">
        <v>7</v>
      </c>
      <c r="G5" s="4" t="s">
        <v>8</v>
      </c>
      <c r="H5" s="5" t="s">
        <v>9</v>
      </c>
      <c r="I5" s="6" t="s">
        <v>10</v>
      </c>
      <c r="J5" s="7" t="s">
        <v>11</v>
      </c>
      <c r="K5" s="8" t="s">
        <v>12</v>
      </c>
    </row>
    <row r="6" spans="1:11" s="33" customFormat="1" x14ac:dyDescent="0.2">
      <c r="A6" s="326">
        <v>2230350002</v>
      </c>
      <c r="B6" s="72" t="s">
        <v>159</v>
      </c>
      <c r="C6" s="347"/>
      <c r="D6" s="347"/>
      <c r="E6" s="347"/>
      <c r="F6" s="347"/>
      <c r="G6" s="347"/>
      <c r="H6" s="305">
        <f>SUM(C6:G6)</f>
        <v>0</v>
      </c>
      <c r="I6" s="327" t="s">
        <v>14</v>
      </c>
      <c r="J6" s="328">
        <v>26.33</v>
      </c>
      <c r="K6" s="329">
        <f>H6*J6</f>
        <v>0</v>
      </c>
    </row>
    <row r="7" spans="1:11" s="33" customFormat="1" x14ac:dyDescent="0.2">
      <c r="A7" s="73">
        <v>2230400014</v>
      </c>
      <c r="B7" s="15" t="s">
        <v>160</v>
      </c>
      <c r="C7" s="348"/>
      <c r="D7" s="348"/>
      <c r="E7" s="348"/>
      <c r="F7" s="348"/>
      <c r="G7" s="348"/>
      <c r="H7" s="21">
        <f t="shared" ref="H7:H40" si="0">SUM(C7:G7)</f>
        <v>0</v>
      </c>
      <c r="I7" s="98">
        <v>750</v>
      </c>
      <c r="J7" s="22">
        <v>26.24</v>
      </c>
      <c r="K7" s="106">
        <f>H7*J7</f>
        <v>0</v>
      </c>
    </row>
    <row r="8" spans="1:11" s="33" customFormat="1" x14ac:dyDescent="0.2">
      <c r="A8" s="73">
        <v>2230400016</v>
      </c>
      <c r="B8" s="15" t="s">
        <v>161</v>
      </c>
      <c r="C8" s="348"/>
      <c r="D8" s="348"/>
      <c r="E8" s="348"/>
      <c r="F8" s="348"/>
      <c r="G8" s="348"/>
      <c r="H8" s="21">
        <f t="shared" si="0"/>
        <v>0</v>
      </c>
      <c r="I8" s="98">
        <v>750</v>
      </c>
      <c r="J8" s="22">
        <v>26.24</v>
      </c>
      <c r="K8" s="106">
        <f t="shared" ref="K8:K40" si="1">H8*J8</f>
        <v>0</v>
      </c>
    </row>
    <row r="9" spans="1:11" s="33" customFormat="1" x14ac:dyDescent="0.2">
      <c r="A9" s="73">
        <v>2230400032</v>
      </c>
      <c r="B9" s="15" t="s">
        <v>162</v>
      </c>
      <c r="C9" s="348"/>
      <c r="D9" s="348"/>
      <c r="E9" s="348"/>
      <c r="F9" s="348"/>
      <c r="G9" s="348"/>
      <c r="H9" s="21">
        <f t="shared" si="0"/>
        <v>0</v>
      </c>
      <c r="I9" s="97" t="s">
        <v>14</v>
      </c>
      <c r="J9" s="22">
        <v>21.01</v>
      </c>
      <c r="K9" s="106">
        <f t="shared" si="1"/>
        <v>0</v>
      </c>
    </row>
    <row r="10" spans="1:11" s="33" customFormat="1" x14ac:dyDescent="0.2">
      <c r="A10" s="73">
        <v>2230400030</v>
      </c>
      <c r="B10" s="15" t="s">
        <v>163</v>
      </c>
      <c r="C10" s="348"/>
      <c r="D10" s="348"/>
      <c r="E10" s="348"/>
      <c r="F10" s="348"/>
      <c r="G10" s="348"/>
      <c r="H10" s="21">
        <f t="shared" si="0"/>
        <v>0</v>
      </c>
      <c r="I10" s="97" t="s">
        <v>14</v>
      </c>
      <c r="J10" s="22">
        <v>26</v>
      </c>
      <c r="K10" s="106">
        <f t="shared" si="1"/>
        <v>0</v>
      </c>
    </row>
    <row r="11" spans="1:11" s="33" customFormat="1" x14ac:dyDescent="0.2">
      <c r="A11" s="73">
        <v>2230400018</v>
      </c>
      <c r="B11" s="15" t="s">
        <v>164</v>
      </c>
      <c r="C11" s="348"/>
      <c r="D11" s="348"/>
      <c r="E11" s="348"/>
      <c r="F11" s="348"/>
      <c r="G11" s="348"/>
      <c r="H11" s="21">
        <f t="shared" si="0"/>
        <v>0</v>
      </c>
      <c r="I11" s="97" t="s">
        <v>14</v>
      </c>
      <c r="J11" s="22">
        <v>29.54</v>
      </c>
      <c r="K11" s="106">
        <f t="shared" si="1"/>
        <v>0</v>
      </c>
    </row>
    <row r="12" spans="1:11" s="33" customFormat="1" ht="16" x14ac:dyDescent="0.2">
      <c r="A12" s="73">
        <v>2230400011</v>
      </c>
      <c r="B12" s="19" t="s">
        <v>165</v>
      </c>
      <c r="C12" s="348"/>
      <c r="D12" s="348"/>
      <c r="E12" s="348"/>
      <c r="F12" s="348"/>
      <c r="G12" s="348"/>
      <c r="H12" s="21">
        <f t="shared" si="0"/>
        <v>0</v>
      </c>
      <c r="I12" s="97" t="s">
        <v>14</v>
      </c>
      <c r="J12" s="22">
        <v>8</v>
      </c>
      <c r="K12" s="106">
        <f t="shared" si="1"/>
        <v>0</v>
      </c>
    </row>
    <row r="13" spans="1:11" s="33" customFormat="1" x14ac:dyDescent="0.2">
      <c r="A13" s="73">
        <v>2230400026</v>
      </c>
      <c r="B13" s="15" t="s">
        <v>166</v>
      </c>
      <c r="C13" s="348"/>
      <c r="D13" s="348"/>
      <c r="E13" s="348"/>
      <c r="F13" s="348"/>
      <c r="G13" s="348"/>
      <c r="H13" s="21">
        <f t="shared" si="0"/>
        <v>0</v>
      </c>
      <c r="I13" s="97" t="s">
        <v>14</v>
      </c>
      <c r="J13" s="22">
        <v>8</v>
      </c>
      <c r="K13" s="106">
        <f t="shared" si="1"/>
        <v>0</v>
      </c>
    </row>
    <row r="14" spans="1:11" s="33" customFormat="1" x14ac:dyDescent="0.2">
      <c r="A14" s="73">
        <v>2230400452</v>
      </c>
      <c r="B14" s="15" t="s">
        <v>167</v>
      </c>
      <c r="C14" s="348"/>
      <c r="D14" s="348"/>
      <c r="E14" s="348"/>
      <c r="F14" s="348"/>
      <c r="G14" s="348"/>
      <c r="H14" s="21">
        <f t="shared" si="0"/>
        <v>0</v>
      </c>
      <c r="I14" s="98">
        <v>750</v>
      </c>
      <c r="J14" s="22">
        <v>7.88</v>
      </c>
      <c r="K14" s="106">
        <f t="shared" si="1"/>
        <v>0</v>
      </c>
    </row>
    <row r="15" spans="1:11" s="33" customFormat="1" ht="16" x14ac:dyDescent="0.2">
      <c r="A15" s="73">
        <v>2230500001</v>
      </c>
      <c r="B15" s="19" t="s">
        <v>168</v>
      </c>
      <c r="C15" s="348"/>
      <c r="D15" s="348"/>
      <c r="E15" s="348"/>
      <c r="F15" s="348"/>
      <c r="G15" s="348"/>
      <c r="H15" s="21">
        <f t="shared" si="0"/>
        <v>0</v>
      </c>
      <c r="I15" s="97" t="s">
        <v>14</v>
      </c>
      <c r="J15" s="22">
        <v>41.98</v>
      </c>
      <c r="K15" s="106">
        <f t="shared" si="1"/>
        <v>0</v>
      </c>
    </row>
    <row r="16" spans="1:11" s="33" customFormat="1" x14ac:dyDescent="0.2">
      <c r="A16" s="73">
        <v>2230500004</v>
      </c>
      <c r="B16" s="15" t="s">
        <v>169</v>
      </c>
      <c r="C16" s="348"/>
      <c r="D16" s="348"/>
      <c r="E16" s="348"/>
      <c r="F16" s="348"/>
      <c r="G16" s="348"/>
      <c r="H16" s="21">
        <f t="shared" si="0"/>
        <v>0</v>
      </c>
      <c r="I16" s="97" t="s">
        <v>14</v>
      </c>
      <c r="J16" s="22">
        <v>55.54</v>
      </c>
      <c r="K16" s="106">
        <f t="shared" si="1"/>
        <v>0</v>
      </c>
    </row>
    <row r="17" spans="1:11" s="33" customFormat="1" x14ac:dyDescent="0.2">
      <c r="A17" s="105">
        <v>2230650036</v>
      </c>
      <c r="B17" s="21" t="s">
        <v>170</v>
      </c>
      <c r="C17" s="348"/>
      <c r="D17" s="348"/>
      <c r="E17" s="348"/>
      <c r="F17" s="348"/>
      <c r="G17" s="348"/>
      <c r="H17" s="21">
        <f t="shared" si="0"/>
        <v>0</v>
      </c>
      <c r="I17" s="97" t="s">
        <v>14</v>
      </c>
      <c r="J17" s="22">
        <v>24</v>
      </c>
      <c r="K17" s="106">
        <f t="shared" si="1"/>
        <v>0</v>
      </c>
    </row>
    <row r="18" spans="1:11" s="33" customFormat="1" x14ac:dyDescent="0.2">
      <c r="A18" s="105">
        <v>2230650044</v>
      </c>
      <c r="B18" s="21" t="s">
        <v>171</v>
      </c>
      <c r="C18" s="348"/>
      <c r="D18" s="348"/>
      <c r="E18" s="348"/>
      <c r="F18" s="348"/>
      <c r="G18" s="348"/>
      <c r="H18" s="21">
        <f t="shared" si="0"/>
        <v>0</v>
      </c>
      <c r="I18" s="97" t="s">
        <v>14</v>
      </c>
      <c r="J18" s="22">
        <v>25.12</v>
      </c>
      <c r="K18" s="106">
        <f t="shared" si="1"/>
        <v>0</v>
      </c>
    </row>
    <row r="19" spans="1:11" s="33" customFormat="1" ht="16" x14ac:dyDescent="0.2">
      <c r="A19" s="105">
        <v>2240200016</v>
      </c>
      <c r="B19" s="66" t="s">
        <v>172</v>
      </c>
      <c r="C19" s="348"/>
      <c r="D19" s="348"/>
      <c r="E19" s="348"/>
      <c r="F19" s="348"/>
      <c r="G19" s="348"/>
      <c r="H19" s="21">
        <f t="shared" si="0"/>
        <v>0</v>
      </c>
      <c r="I19" s="97" t="s">
        <v>29</v>
      </c>
      <c r="J19" s="22">
        <v>6.29</v>
      </c>
      <c r="K19" s="106">
        <f t="shared" si="1"/>
        <v>0</v>
      </c>
    </row>
    <row r="20" spans="1:11" s="33" customFormat="1" ht="16" hidden="1" x14ac:dyDescent="0.2">
      <c r="A20" s="105">
        <v>2240200017</v>
      </c>
      <c r="B20" s="66" t="s">
        <v>30</v>
      </c>
      <c r="C20" s="348"/>
      <c r="D20" s="348"/>
      <c r="E20" s="348"/>
      <c r="F20" s="348"/>
      <c r="G20" s="348"/>
      <c r="H20" s="21">
        <f t="shared" si="0"/>
        <v>0</v>
      </c>
      <c r="I20" s="97" t="s">
        <v>29</v>
      </c>
      <c r="J20" s="22">
        <v>6.29</v>
      </c>
      <c r="K20" s="106">
        <f t="shared" si="1"/>
        <v>0</v>
      </c>
    </row>
    <row r="21" spans="1:11" s="33" customFormat="1" hidden="1" x14ac:dyDescent="0.2">
      <c r="A21" s="165">
        <v>2230250010</v>
      </c>
      <c r="B21" s="236" t="s">
        <v>31</v>
      </c>
      <c r="C21" s="348"/>
      <c r="D21" s="348"/>
      <c r="E21" s="348"/>
      <c r="F21" s="348"/>
      <c r="G21" s="348"/>
      <c r="H21" s="21">
        <f t="shared" si="0"/>
        <v>0</v>
      </c>
      <c r="I21" s="167" t="s">
        <v>14</v>
      </c>
      <c r="J21" s="23">
        <v>48.74</v>
      </c>
      <c r="K21" s="131">
        <f t="shared" si="1"/>
        <v>0</v>
      </c>
    </row>
    <row r="22" spans="1:11" s="33" customFormat="1" x14ac:dyDescent="0.2">
      <c r="A22" s="105">
        <v>2230250007</v>
      </c>
      <c r="B22" s="21" t="s">
        <v>173</v>
      </c>
      <c r="C22" s="348"/>
      <c r="D22" s="348"/>
      <c r="E22" s="348"/>
      <c r="F22" s="348"/>
      <c r="G22" s="348"/>
      <c r="H22" s="21">
        <f t="shared" si="0"/>
        <v>0</v>
      </c>
      <c r="I22" s="98">
        <v>750</v>
      </c>
      <c r="J22" s="22">
        <v>32</v>
      </c>
      <c r="K22" s="131">
        <f t="shared" si="1"/>
        <v>0</v>
      </c>
    </row>
    <row r="23" spans="1:11" s="33" customFormat="1" ht="16" x14ac:dyDescent="0.2">
      <c r="A23" s="334">
        <v>2230350018</v>
      </c>
      <c r="B23" s="335" t="s">
        <v>34</v>
      </c>
      <c r="C23" s="69"/>
      <c r="D23" s="69"/>
      <c r="E23" s="69"/>
      <c r="F23" s="69"/>
      <c r="G23" s="69"/>
      <c r="H23" s="69">
        <f t="shared" si="0"/>
        <v>0</v>
      </c>
      <c r="I23" s="341" t="s">
        <v>14</v>
      </c>
      <c r="J23" s="338">
        <v>28.09</v>
      </c>
      <c r="K23" s="342">
        <f t="shared" si="1"/>
        <v>0</v>
      </c>
    </row>
    <row r="24" spans="1:11" s="33" customFormat="1" x14ac:dyDescent="0.2">
      <c r="A24" s="105">
        <v>2230400099</v>
      </c>
      <c r="B24" s="21" t="s">
        <v>174</v>
      </c>
      <c r="C24" s="348"/>
      <c r="D24" s="348"/>
      <c r="E24" s="348"/>
      <c r="F24" s="348"/>
      <c r="G24" s="348"/>
      <c r="H24" s="21">
        <f t="shared" si="0"/>
        <v>0</v>
      </c>
      <c r="I24" s="97" t="s">
        <v>14</v>
      </c>
      <c r="J24" s="22">
        <v>37.130000000000003</v>
      </c>
      <c r="K24" s="131">
        <f t="shared" si="1"/>
        <v>0</v>
      </c>
    </row>
    <row r="25" spans="1:11" s="33" customFormat="1" x14ac:dyDescent="0.2">
      <c r="A25" s="105">
        <v>2230600026</v>
      </c>
      <c r="B25" s="21" t="s">
        <v>175</v>
      </c>
      <c r="C25" s="348"/>
      <c r="D25" s="348"/>
      <c r="E25" s="348"/>
      <c r="F25" s="348"/>
      <c r="G25" s="348"/>
      <c r="H25" s="21">
        <f t="shared" si="0"/>
        <v>0</v>
      </c>
      <c r="I25" s="97" t="s">
        <v>14</v>
      </c>
      <c r="J25" s="22">
        <v>10.24</v>
      </c>
      <c r="K25" s="131">
        <f t="shared" si="1"/>
        <v>0</v>
      </c>
    </row>
    <row r="26" spans="1:11" s="33" customFormat="1" x14ac:dyDescent="0.2">
      <c r="A26" s="105">
        <v>2230600031</v>
      </c>
      <c r="B26" s="21" t="s">
        <v>176</v>
      </c>
      <c r="C26" s="348"/>
      <c r="D26" s="348"/>
      <c r="E26" s="348"/>
      <c r="F26" s="348"/>
      <c r="G26" s="348"/>
      <c r="H26" s="21">
        <f t="shared" si="0"/>
        <v>0</v>
      </c>
      <c r="I26" s="97" t="s">
        <v>14</v>
      </c>
      <c r="J26" s="22">
        <v>10.24</v>
      </c>
      <c r="K26" s="131">
        <f t="shared" si="1"/>
        <v>0</v>
      </c>
    </row>
    <row r="27" spans="1:11" s="33" customFormat="1" x14ac:dyDescent="0.2">
      <c r="A27" s="105">
        <v>2230400559</v>
      </c>
      <c r="B27" s="21" t="s">
        <v>177</v>
      </c>
      <c r="C27" s="348"/>
      <c r="D27" s="348"/>
      <c r="E27" s="348"/>
      <c r="F27" s="348"/>
      <c r="G27" s="348"/>
      <c r="H27" s="21">
        <f t="shared" si="0"/>
        <v>0</v>
      </c>
      <c r="I27" s="98">
        <v>750</v>
      </c>
      <c r="J27" s="22">
        <v>20.48</v>
      </c>
      <c r="K27" s="131">
        <f t="shared" si="1"/>
        <v>0</v>
      </c>
    </row>
    <row r="28" spans="1:11" s="33" customFormat="1" x14ac:dyDescent="0.2">
      <c r="A28" s="105">
        <v>2230400097</v>
      </c>
      <c r="B28" s="21" t="s">
        <v>178</v>
      </c>
      <c r="C28" s="348"/>
      <c r="D28" s="348"/>
      <c r="E28" s="348"/>
      <c r="F28" s="348"/>
      <c r="G28" s="348"/>
      <c r="H28" s="21">
        <f t="shared" si="0"/>
        <v>0</v>
      </c>
      <c r="I28" s="97" t="s">
        <v>14</v>
      </c>
      <c r="J28" s="22">
        <v>11.5</v>
      </c>
      <c r="K28" s="131">
        <f t="shared" si="1"/>
        <v>0</v>
      </c>
    </row>
    <row r="29" spans="1:11" s="33" customFormat="1" ht="16" x14ac:dyDescent="0.2">
      <c r="A29" s="105">
        <v>2240100006</v>
      </c>
      <c r="B29" s="257" t="s">
        <v>179</v>
      </c>
      <c r="C29" s="348"/>
      <c r="D29" s="348"/>
      <c r="E29" s="348"/>
      <c r="F29" s="348"/>
      <c r="G29" s="348"/>
      <c r="H29" s="21">
        <f t="shared" si="0"/>
        <v>0</v>
      </c>
      <c r="I29" s="97" t="s">
        <v>29</v>
      </c>
      <c r="J29" s="22">
        <v>6.29</v>
      </c>
      <c r="K29" s="131">
        <f t="shared" si="1"/>
        <v>0</v>
      </c>
    </row>
    <row r="30" spans="1:11" s="33" customFormat="1" ht="16" x14ac:dyDescent="0.2">
      <c r="A30" s="105">
        <v>2240400080</v>
      </c>
      <c r="B30" s="257" t="s">
        <v>180</v>
      </c>
      <c r="C30" s="348"/>
      <c r="D30" s="348"/>
      <c r="E30" s="348"/>
      <c r="F30" s="348"/>
      <c r="G30" s="348"/>
      <c r="H30" s="21">
        <f t="shared" si="0"/>
        <v>0</v>
      </c>
      <c r="I30" s="97" t="s">
        <v>29</v>
      </c>
      <c r="J30" s="22">
        <v>6.74</v>
      </c>
      <c r="K30" s="131">
        <f t="shared" si="1"/>
        <v>0</v>
      </c>
    </row>
    <row r="31" spans="1:11" s="33" customFormat="1" x14ac:dyDescent="0.2">
      <c r="A31" s="105">
        <v>2240100004</v>
      </c>
      <c r="B31" s="235" t="s">
        <v>181</v>
      </c>
      <c r="C31" s="348"/>
      <c r="D31" s="348"/>
      <c r="E31" s="348"/>
      <c r="F31" s="348"/>
      <c r="G31" s="348"/>
      <c r="H31" s="21">
        <f t="shared" si="0"/>
        <v>0</v>
      </c>
      <c r="I31" s="97" t="s">
        <v>29</v>
      </c>
      <c r="J31" s="22">
        <v>6.29</v>
      </c>
      <c r="K31" s="131">
        <f t="shared" si="1"/>
        <v>0</v>
      </c>
    </row>
    <row r="32" spans="1:11" s="33" customFormat="1" x14ac:dyDescent="0.2">
      <c r="A32" s="105">
        <v>2240300043</v>
      </c>
      <c r="B32" s="235" t="s">
        <v>182</v>
      </c>
      <c r="C32" s="348"/>
      <c r="D32" s="348"/>
      <c r="E32" s="348"/>
      <c r="F32" s="348"/>
      <c r="G32" s="348"/>
      <c r="H32" s="21">
        <f t="shared" si="0"/>
        <v>0</v>
      </c>
      <c r="I32" s="98">
        <v>750</v>
      </c>
      <c r="J32" s="22">
        <v>7.01</v>
      </c>
      <c r="K32" s="163">
        <f t="shared" si="1"/>
        <v>0</v>
      </c>
    </row>
    <row r="33" spans="1:11" s="33" customFormat="1" ht="16" x14ac:dyDescent="0.2">
      <c r="A33" s="105">
        <v>2240050011</v>
      </c>
      <c r="B33" s="257" t="s">
        <v>183</v>
      </c>
      <c r="C33" s="348"/>
      <c r="D33" s="348"/>
      <c r="E33" s="348"/>
      <c r="F33" s="348"/>
      <c r="G33" s="348"/>
      <c r="H33" s="21">
        <f t="shared" si="0"/>
        <v>0</v>
      </c>
      <c r="I33" s="98">
        <v>750</v>
      </c>
      <c r="J33" s="22">
        <v>4.1500000000000004</v>
      </c>
      <c r="K33" s="131">
        <f t="shared" si="1"/>
        <v>0</v>
      </c>
    </row>
    <row r="34" spans="1:11" s="33" customFormat="1" x14ac:dyDescent="0.2">
      <c r="A34" s="105">
        <v>2230400093</v>
      </c>
      <c r="B34" s="235" t="s">
        <v>184</v>
      </c>
      <c r="C34" s="348"/>
      <c r="D34" s="348"/>
      <c r="E34" s="348"/>
      <c r="F34" s="348"/>
      <c r="G34" s="348"/>
      <c r="H34" s="21">
        <f t="shared" si="0"/>
        <v>0</v>
      </c>
      <c r="I34" s="97" t="s">
        <v>14</v>
      </c>
      <c r="J34" s="22">
        <v>27.82</v>
      </c>
      <c r="K34" s="106">
        <f t="shared" si="1"/>
        <v>0</v>
      </c>
    </row>
    <row r="35" spans="1:11" s="33" customFormat="1" x14ac:dyDescent="0.2">
      <c r="A35" s="334">
        <v>2230200007</v>
      </c>
      <c r="B35" s="69" t="s">
        <v>48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f t="shared" si="0"/>
        <v>0</v>
      </c>
      <c r="I35" s="341" t="s">
        <v>14</v>
      </c>
      <c r="J35" s="338">
        <v>10.5</v>
      </c>
      <c r="K35" s="339">
        <f t="shared" si="1"/>
        <v>0</v>
      </c>
    </row>
    <row r="36" spans="1:11" s="33" customFormat="1" x14ac:dyDescent="0.2">
      <c r="A36" s="105">
        <v>2230400057</v>
      </c>
      <c r="B36" s="235" t="s">
        <v>185</v>
      </c>
      <c r="C36" s="349">
        <v>2</v>
      </c>
      <c r="D36" s="349">
        <v>2</v>
      </c>
      <c r="E36" s="349">
        <v>6</v>
      </c>
      <c r="F36" s="349">
        <v>2</v>
      </c>
      <c r="G36" s="349">
        <v>2</v>
      </c>
      <c r="H36" s="306">
        <f t="shared" si="0"/>
        <v>14</v>
      </c>
      <c r="I36" s="97" t="s">
        <v>14</v>
      </c>
      <c r="J36" s="22">
        <v>24.07</v>
      </c>
      <c r="K36" s="106">
        <f t="shared" si="1"/>
        <v>336.98</v>
      </c>
    </row>
    <row r="37" spans="1:11" s="33" customFormat="1" ht="16" x14ac:dyDescent="0.2">
      <c r="A37" s="105">
        <v>2230700431</v>
      </c>
      <c r="B37" s="257" t="s">
        <v>186</v>
      </c>
      <c r="C37" s="348">
        <v>1.5</v>
      </c>
      <c r="D37" s="348">
        <v>1</v>
      </c>
      <c r="E37" s="348">
        <v>0</v>
      </c>
      <c r="F37" s="348">
        <v>2</v>
      </c>
      <c r="G37" s="348">
        <v>2</v>
      </c>
      <c r="H37" s="21">
        <f t="shared" si="0"/>
        <v>6.5</v>
      </c>
      <c r="I37" s="97" t="s">
        <v>14</v>
      </c>
      <c r="J37" s="22">
        <v>14.13</v>
      </c>
      <c r="K37" s="106">
        <f t="shared" si="1"/>
        <v>91.844999999999999</v>
      </c>
    </row>
    <row r="38" spans="1:11" s="33" customFormat="1" ht="16" x14ac:dyDescent="0.2">
      <c r="A38" s="105">
        <v>2230400059</v>
      </c>
      <c r="B38" s="66" t="s">
        <v>187</v>
      </c>
      <c r="C38" s="350">
        <v>2</v>
      </c>
      <c r="D38" s="350">
        <v>0</v>
      </c>
      <c r="E38" s="350">
        <v>0</v>
      </c>
      <c r="F38" s="350">
        <v>1</v>
      </c>
      <c r="G38" s="351">
        <v>0.5</v>
      </c>
      <c r="H38" s="236">
        <f t="shared" si="0"/>
        <v>3.5</v>
      </c>
      <c r="I38" s="97" t="s">
        <v>14</v>
      </c>
      <c r="J38" s="22">
        <v>9.6300000000000008</v>
      </c>
      <c r="K38" s="106">
        <f t="shared" si="1"/>
        <v>33.705000000000005</v>
      </c>
    </row>
    <row r="39" spans="1:11" s="33" customFormat="1" ht="17.25" customHeight="1" x14ac:dyDescent="0.2">
      <c r="A39" s="165">
        <v>2230400762</v>
      </c>
      <c r="B39" s="166" t="s">
        <v>188</v>
      </c>
      <c r="C39" s="348">
        <v>1</v>
      </c>
      <c r="D39" s="348">
        <v>1</v>
      </c>
      <c r="E39" s="348">
        <v>0</v>
      </c>
      <c r="F39" s="348">
        <v>1</v>
      </c>
      <c r="G39" s="352">
        <v>1</v>
      </c>
      <c r="H39" s="21">
        <f t="shared" si="0"/>
        <v>4</v>
      </c>
      <c r="I39" s="167" t="s">
        <v>14</v>
      </c>
      <c r="J39" s="23">
        <v>8.6300000000000008</v>
      </c>
      <c r="K39" s="131">
        <f t="shared" si="1"/>
        <v>34.520000000000003</v>
      </c>
    </row>
    <row r="40" spans="1:11" s="33" customFormat="1" ht="13.5" customHeight="1" x14ac:dyDescent="0.2">
      <c r="A40" s="105">
        <v>2230400763</v>
      </c>
      <c r="B40" s="66" t="s">
        <v>189</v>
      </c>
      <c r="C40" s="348">
        <v>0</v>
      </c>
      <c r="D40" s="348">
        <v>0</v>
      </c>
      <c r="E40" s="348">
        <v>0</v>
      </c>
      <c r="F40" s="348">
        <v>1</v>
      </c>
      <c r="G40" s="352">
        <v>0</v>
      </c>
      <c r="H40" s="21">
        <f t="shared" si="0"/>
        <v>1</v>
      </c>
      <c r="I40" s="98" t="s">
        <v>14</v>
      </c>
      <c r="J40" s="22">
        <v>10</v>
      </c>
      <c r="K40" s="106">
        <f t="shared" si="1"/>
        <v>10</v>
      </c>
    </row>
    <row r="41" spans="1:11" s="33" customFormat="1" ht="16" x14ac:dyDescent="0.2">
      <c r="A41" s="307" t="s">
        <v>55</v>
      </c>
      <c r="B41" s="308" t="s">
        <v>190</v>
      </c>
      <c r="C41" s="350">
        <v>1</v>
      </c>
      <c r="D41" s="350">
        <v>1</v>
      </c>
      <c r="E41" s="350">
        <v>0</v>
      </c>
      <c r="F41" s="350">
        <v>1</v>
      </c>
      <c r="G41" s="351">
        <v>0</v>
      </c>
      <c r="H41" s="236">
        <f>SUM(C41:G41)</f>
        <v>3</v>
      </c>
      <c r="I41" s="167" t="s">
        <v>14</v>
      </c>
      <c r="J41" s="23">
        <v>3.75</v>
      </c>
      <c r="K41" s="131">
        <f>H41*J41</f>
        <v>11.25</v>
      </c>
    </row>
    <row r="42" spans="1:11" s="33" customFormat="1" ht="16" x14ac:dyDescent="0.2">
      <c r="A42" s="105">
        <v>2230400019</v>
      </c>
      <c r="B42" s="257" t="s">
        <v>191</v>
      </c>
      <c r="C42" s="348">
        <v>1</v>
      </c>
      <c r="D42" s="348">
        <v>1</v>
      </c>
      <c r="E42" s="348">
        <v>1</v>
      </c>
      <c r="F42" s="348">
        <v>2</v>
      </c>
      <c r="G42" s="352">
        <v>2</v>
      </c>
      <c r="H42" s="21">
        <f t="shared" ref="H42:H64" si="2">SUM(C42:G42)</f>
        <v>7</v>
      </c>
      <c r="I42" s="97" t="s">
        <v>14</v>
      </c>
      <c r="J42" s="22">
        <v>21.83</v>
      </c>
      <c r="K42" s="106">
        <f>H42*J42</f>
        <v>152.81</v>
      </c>
    </row>
    <row r="43" spans="1:11" s="33" customFormat="1" ht="16" x14ac:dyDescent="0.2">
      <c r="A43" s="105">
        <v>2230400024</v>
      </c>
      <c r="B43" s="257" t="s">
        <v>192</v>
      </c>
      <c r="C43" s="348">
        <v>1</v>
      </c>
      <c r="D43" s="348">
        <v>1</v>
      </c>
      <c r="E43" s="348">
        <v>1</v>
      </c>
      <c r="F43" s="348">
        <v>1</v>
      </c>
      <c r="G43" s="352">
        <v>1</v>
      </c>
      <c r="H43" s="21">
        <f t="shared" si="2"/>
        <v>5</v>
      </c>
      <c r="I43" s="97" t="s">
        <v>14</v>
      </c>
      <c r="J43" s="22">
        <v>8</v>
      </c>
      <c r="K43" s="106">
        <f>H43*J43</f>
        <v>40</v>
      </c>
    </row>
    <row r="44" spans="1:11" s="33" customFormat="1" ht="16" x14ac:dyDescent="0.2">
      <c r="A44" s="105">
        <v>2230450019</v>
      </c>
      <c r="B44" s="257" t="s">
        <v>193</v>
      </c>
      <c r="C44" s="348">
        <v>0</v>
      </c>
      <c r="D44" s="348">
        <v>0</v>
      </c>
      <c r="E44" s="348">
        <v>1</v>
      </c>
      <c r="F44" s="348">
        <v>0</v>
      </c>
      <c r="G44" s="352">
        <v>1</v>
      </c>
      <c r="H44" s="21">
        <f t="shared" si="2"/>
        <v>2</v>
      </c>
      <c r="I44" s="97" t="s">
        <v>14</v>
      </c>
      <c r="J44" s="22">
        <v>21.5</v>
      </c>
      <c r="K44" s="131">
        <f t="shared" ref="K44:K64" si="3">H44*J44</f>
        <v>43</v>
      </c>
    </row>
    <row r="45" spans="1:11" s="33" customFormat="1" ht="16" x14ac:dyDescent="0.2">
      <c r="A45" s="105">
        <v>2230400017</v>
      </c>
      <c r="B45" s="257" t="s">
        <v>194</v>
      </c>
      <c r="C45" s="348">
        <v>2</v>
      </c>
      <c r="D45" s="348">
        <v>1</v>
      </c>
      <c r="E45" s="348">
        <v>1</v>
      </c>
      <c r="F45" s="348">
        <v>2</v>
      </c>
      <c r="G45" s="352">
        <v>1</v>
      </c>
      <c r="H45" s="21">
        <f t="shared" si="2"/>
        <v>7</v>
      </c>
      <c r="I45" s="97" t="s">
        <v>14</v>
      </c>
      <c r="J45" s="22">
        <v>9</v>
      </c>
      <c r="K45" s="131">
        <f>H45*J45</f>
        <v>63</v>
      </c>
    </row>
    <row r="46" spans="1:11" s="33" customFormat="1" ht="16" x14ac:dyDescent="0.2">
      <c r="A46" s="105">
        <v>2230550008</v>
      </c>
      <c r="B46" s="66" t="s">
        <v>197</v>
      </c>
      <c r="C46" s="348">
        <v>1</v>
      </c>
      <c r="D46" s="348">
        <v>0.5</v>
      </c>
      <c r="E46" s="348">
        <v>2</v>
      </c>
      <c r="F46" s="348">
        <v>2</v>
      </c>
      <c r="G46" s="352">
        <v>1</v>
      </c>
      <c r="H46" s="21">
        <f t="shared" si="2"/>
        <v>6.5</v>
      </c>
      <c r="I46" s="97" t="s">
        <v>14</v>
      </c>
      <c r="J46" s="22">
        <v>19.5</v>
      </c>
      <c r="K46" s="106">
        <f t="shared" si="3"/>
        <v>126.75</v>
      </c>
    </row>
    <row r="47" spans="1:11" s="33" customFormat="1" ht="16" x14ac:dyDescent="0.2">
      <c r="A47" s="105">
        <v>2230550016</v>
      </c>
      <c r="B47" s="66" t="s">
        <v>196</v>
      </c>
      <c r="C47" s="348">
        <v>2</v>
      </c>
      <c r="D47" s="348">
        <v>1</v>
      </c>
      <c r="E47" s="348">
        <v>6</v>
      </c>
      <c r="F47" s="348">
        <v>3</v>
      </c>
      <c r="G47" s="352">
        <v>1</v>
      </c>
      <c r="H47" s="21">
        <f t="shared" si="2"/>
        <v>13</v>
      </c>
      <c r="I47" s="98">
        <v>750</v>
      </c>
      <c r="J47" s="22">
        <v>40.79</v>
      </c>
      <c r="K47" s="106">
        <f t="shared" si="3"/>
        <v>530.27</v>
      </c>
    </row>
    <row r="48" spans="1:11" s="33" customFormat="1" ht="16" x14ac:dyDescent="0.2">
      <c r="A48" s="105">
        <v>2230650122</v>
      </c>
      <c r="B48" s="66" t="s">
        <v>195</v>
      </c>
      <c r="C48" s="348">
        <v>2</v>
      </c>
      <c r="D48" s="348">
        <v>1</v>
      </c>
      <c r="E48" s="348">
        <v>2</v>
      </c>
      <c r="F48" s="348">
        <v>3</v>
      </c>
      <c r="G48" s="352">
        <v>1</v>
      </c>
      <c r="H48" s="21">
        <f t="shared" si="2"/>
        <v>9</v>
      </c>
      <c r="I48" s="97" t="s">
        <v>14</v>
      </c>
      <c r="J48" s="22">
        <v>31.67</v>
      </c>
      <c r="K48" s="106">
        <f t="shared" si="3"/>
        <v>285.03000000000003</v>
      </c>
    </row>
    <row r="49" spans="1:25" s="33" customFormat="1" ht="16" x14ac:dyDescent="0.2">
      <c r="A49" s="105">
        <v>2230650203</v>
      </c>
      <c r="B49" s="66" t="s">
        <v>198</v>
      </c>
      <c r="C49" s="348">
        <v>2</v>
      </c>
      <c r="D49" s="348">
        <v>0</v>
      </c>
      <c r="E49" s="348">
        <v>3</v>
      </c>
      <c r="F49" s="348">
        <v>2</v>
      </c>
      <c r="G49" s="352">
        <v>1</v>
      </c>
      <c r="H49" s="21">
        <f t="shared" si="2"/>
        <v>8</v>
      </c>
      <c r="I49" s="97" t="s">
        <v>14</v>
      </c>
      <c r="J49" s="22">
        <v>12</v>
      </c>
      <c r="K49" s="106">
        <f t="shared" si="3"/>
        <v>96</v>
      </c>
    </row>
    <row r="50" spans="1:25" s="33" customFormat="1" ht="16" x14ac:dyDescent="0.2">
      <c r="A50" s="105">
        <v>2230650420</v>
      </c>
      <c r="B50" s="66" t="s">
        <v>199</v>
      </c>
      <c r="C50" s="348">
        <v>2</v>
      </c>
      <c r="D50" s="348">
        <v>1</v>
      </c>
      <c r="E50" s="348">
        <v>3</v>
      </c>
      <c r="F50" s="348">
        <v>3</v>
      </c>
      <c r="G50" s="352">
        <v>0.5</v>
      </c>
      <c r="H50" s="21">
        <f t="shared" si="2"/>
        <v>9.5</v>
      </c>
      <c r="I50" s="97" t="s">
        <v>14</v>
      </c>
      <c r="J50" s="22">
        <v>14</v>
      </c>
      <c r="K50" s="106">
        <f t="shared" si="3"/>
        <v>133</v>
      </c>
    </row>
    <row r="51" spans="1:25" s="33" customFormat="1" ht="16" x14ac:dyDescent="0.2">
      <c r="A51" s="105">
        <v>2230650628</v>
      </c>
      <c r="B51" s="66" t="s">
        <v>200</v>
      </c>
      <c r="C51" s="348">
        <v>3</v>
      </c>
      <c r="D51" s="348">
        <v>1</v>
      </c>
      <c r="E51" s="348">
        <v>0</v>
      </c>
      <c r="F51" s="348">
        <v>2</v>
      </c>
      <c r="G51" s="352">
        <v>0.5</v>
      </c>
      <c r="H51" s="21">
        <f t="shared" si="2"/>
        <v>6.5</v>
      </c>
      <c r="I51" s="97" t="s">
        <v>14</v>
      </c>
      <c r="J51" s="22">
        <v>14</v>
      </c>
      <c r="K51" s="106">
        <f t="shared" si="3"/>
        <v>91</v>
      </c>
    </row>
    <row r="52" spans="1:25" s="33" customFormat="1" ht="16" x14ac:dyDescent="0.2">
      <c r="A52" s="105">
        <v>2230650629</v>
      </c>
      <c r="B52" s="66" t="s">
        <v>201</v>
      </c>
      <c r="C52" s="348">
        <v>2</v>
      </c>
      <c r="D52" s="348">
        <v>1</v>
      </c>
      <c r="E52" s="348">
        <v>7</v>
      </c>
      <c r="F52" s="348">
        <v>2</v>
      </c>
      <c r="G52" s="352">
        <v>1</v>
      </c>
      <c r="H52" s="21">
        <f t="shared" si="2"/>
        <v>13</v>
      </c>
      <c r="I52" s="97" t="s">
        <v>14</v>
      </c>
      <c r="J52" s="22">
        <v>14</v>
      </c>
      <c r="K52" s="106">
        <f t="shared" si="3"/>
        <v>182</v>
      </c>
    </row>
    <row r="53" spans="1:25" s="33" customFormat="1" ht="16" x14ac:dyDescent="0.2">
      <c r="A53" s="105">
        <v>2230650630</v>
      </c>
      <c r="B53" s="66" t="s">
        <v>202</v>
      </c>
      <c r="C53" s="348">
        <v>3</v>
      </c>
      <c r="D53" s="348">
        <v>0.5</v>
      </c>
      <c r="E53" s="348">
        <v>4</v>
      </c>
      <c r="F53" s="348">
        <v>2</v>
      </c>
      <c r="G53" s="352">
        <v>0.5</v>
      </c>
      <c r="H53" s="21">
        <f t="shared" si="2"/>
        <v>10</v>
      </c>
      <c r="I53" s="97" t="s">
        <v>14</v>
      </c>
      <c r="J53" s="22">
        <v>14</v>
      </c>
      <c r="K53" s="106">
        <f t="shared" si="3"/>
        <v>140</v>
      </c>
    </row>
    <row r="54" spans="1:25" s="33" customFormat="1" ht="16" x14ac:dyDescent="0.2">
      <c r="A54" s="105">
        <v>2230650631</v>
      </c>
      <c r="B54" s="66" t="s">
        <v>203</v>
      </c>
      <c r="C54" s="348">
        <v>3</v>
      </c>
      <c r="D54" s="348">
        <v>1</v>
      </c>
      <c r="E54" s="348">
        <v>10</v>
      </c>
      <c r="F54" s="348">
        <v>2</v>
      </c>
      <c r="G54" s="352">
        <v>1</v>
      </c>
      <c r="H54" s="21">
        <f t="shared" si="2"/>
        <v>17</v>
      </c>
      <c r="I54" s="97" t="s">
        <v>14</v>
      </c>
      <c r="J54" s="22">
        <v>14</v>
      </c>
      <c r="K54" s="106">
        <f t="shared" si="3"/>
        <v>238</v>
      </c>
    </row>
    <row r="55" spans="1:25" s="33" customFormat="1" ht="16" x14ac:dyDescent="0.2">
      <c r="A55" s="105">
        <v>2230650566</v>
      </c>
      <c r="B55" s="66" t="s">
        <v>204</v>
      </c>
      <c r="C55" s="348">
        <v>3</v>
      </c>
      <c r="D55" s="348">
        <v>1</v>
      </c>
      <c r="E55" s="348">
        <v>7</v>
      </c>
      <c r="F55" s="348">
        <v>3</v>
      </c>
      <c r="G55" s="352">
        <v>1</v>
      </c>
      <c r="H55" s="21">
        <f t="shared" si="2"/>
        <v>15</v>
      </c>
      <c r="I55" s="97" t="s">
        <v>14</v>
      </c>
      <c r="J55" s="22">
        <v>14</v>
      </c>
      <c r="K55" s="106">
        <f t="shared" si="3"/>
        <v>210</v>
      </c>
    </row>
    <row r="56" spans="1:25" s="33" customFormat="1" x14ac:dyDescent="0.2">
      <c r="A56" s="105">
        <v>2230650567</v>
      </c>
      <c r="B56" s="21" t="s">
        <v>205</v>
      </c>
      <c r="C56" s="348">
        <v>3</v>
      </c>
      <c r="D56" s="348">
        <v>1</v>
      </c>
      <c r="E56" s="348">
        <v>3</v>
      </c>
      <c r="F56" s="348">
        <v>3</v>
      </c>
      <c r="G56" s="352">
        <v>0.5</v>
      </c>
      <c r="H56" s="21">
        <f t="shared" si="2"/>
        <v>10.5</v>
      </c>
      <c r="I56" s="97" t="s">
        <v>14</v>
      </c>
      <c r="J56" s="22">
        <v>14</v>
      </c>
      <c r="K56" s="106">
        <f t="shared" si="3"/>
        <v>147</v>
      </c>
    </row>
    <row r="57" spans="1:25" s="33" customFormat="1" ht="15.75" customHeight="1" x14ac:dyDescent="0.2">
      <c r="A57" s="105">
        <v>2230700532</v>
      </c>
      <c r="B57" s="21" t="s">
        <v>206</v>
      </c>
      <c r="C57" s="348">
        <v>1</v>
      </c>
      <c r="D57" s="348">
        <v>0.5</v>
      </c>
      <c r="E57" s="348">
        <v>10</v>
      </c>
      <c r="F57" s="348">
        <v>2</v>
      </c>
      <c r="G57" s="352">
        <v>1</v>
      </c>
      <c r="H57" s="21">
        <f t="shared" si="2"/>
        <v>14.5</v>
      </c>
      <c r="I57" s="98">
        <v>750</v>
      </c>
      <c r="J57" s="22">
        <v>17.739999999999998</v>
      </c>
      <c r="K57" s="106">
        <f t="shared" si="3"/>
        <v>257.22999999999996</v>
      </c>
      <c r="O57" s="168"/>
      <c r="P57" s="169"/>
      <c r="Q57" s="169"/>
      <c r="R57" s="170"/>
      <c r="S57" s="170"/>
      <c r="T57" s="171"/>
      <c r="U57" s="172"/>
      <c r="V57" s="173"/>
      <c r="W57" s="174"/>
      <c r="X57" s="170"/>
      <c r="Y57" s="169"/>
    </row>
    <row r="58" spans="1:25" s="33" customFormat="1" x14ac:dyDescent="0.2">
      <c r="A58" s="105">
        <v>2230700633</v>
      </c>
      <c r="B58" s="21" t="s">
        <v>207</v>
      </c>
      <c r="C58" s="348">
        <v>2</v>
      </c>
      <c r="D58" s="348">
        <v>1</v>
      </c>
      <c r="E58" s="348">
        <v>3</v>
      </c>
      <c r="F58" s="348">
        <v>2</v>
      </c>
      <c r="G58" s="352">
        <v>1</v>
      </c>
      <c r="H58" s="21">
        <f t="shared" si="2"/>
        <v>9</v>
      </c>
      <c r="I58" s="97" t="s">
        <v>14</v>
      </c>
      <c r="J58" s="22">
        <v>18</v>
      </c>
      <c r="K58" s="106">
        <f t="shared" si="3"/>
        <v>162</v>
      </c>
    </row>
    <row r="59" spans="1:25" s="33" customFormat="1" x14ac:dyDescent="0.2">
      <c r="A59" s="165">
        <v>2230700507</v>
      </c>
      <c r="B59" s="236" t="s">
        <v>208</v>
      </c>
      <c r="C59" s="350">
        <v>2</v>
      </c>
      <c r="D59" s="350">
        <v>1</v>
      </c>
      <c r="E59" s="350">
        <v>3</v>
      </c>
      <c r="F59" s="350">
        <v>1.5</v>
      </c>
      <c r="G59" s="348">
        <v>1.5</v>
      </c>
      <c r="H59" s="21">
        <f t="shared" si="2"/>
        <v>9</v>
      </c>
      <c r="I59" s="167" t="s">
        <v>14</v>
      </c>
      <c r="J59" s="23">
        <v>30.09</v>
      </c>
      <c r="K59" s="131">
        <f t="shared" si="3"/>
        <v>270.81</v>
      </c>
    </row>
    <row r="60" spans="1:25" s="33" customFormat="1" x14ac:dyDescent="0.2">
      <c r="A60" s="105">
        <v>2230700143</v>
      </c>
      <c r="B60" s="21" t="s">
        <v>209</v>
      </c>
      <c r="C60" s="348">
        <v>2</v>
      </c>
      <c r="D60" s="348">
        <v>0.5</v>
      </c>
      <c r="E60" s="348">
        <v>2</v>
      </c>
      <c r="F60" s="353">
        <v>1.5</v>
      </c>
      <c r="G60" s="348">
        <v>1</v>
      </c>
      <c r="H60" s="236">
        <f t="shared" si="2"/>
        <v>7</v>
      </c>
      <c r="I60" s="97" t="s">
        <v>14</v>
      </c>
      <c r="J60" s="22">
        <v>30.09</v>
      </c>
      <c r="K60" s="106">
        <f t="shared" si="3"/>
        <v>210.63</v>
      </c>
    </row>
    <row r="61" spans="1:25" s="33" customFormat="1" x14ac:dyDescent="0.2">
      <c r="A61" s="105">
        <v>2230700666</v>
      </c>
      <c r="B61" s="21" t="s">
        <v>210</v>
      </c>
      <c r="C61" s="348">
        <v>2</v>
      </c>
      <c r="D61" s="348">
        <v>0</v>
      </c>
      <c r="E61" s="348">
        <v>3</v>
      </c>
      <c r="F61" s="348">
        <v>1.5</v>
      </c>
      <c r="G61" s="348">
        <v>1</v>
      </c>
      <c r="H61" s="236">
        <f t="shared" si="2"/>
        <v>7.5</v>
      </c>
      <c r="I61" s="98">
        <v>750</v>
      </c>
      <c r="J61" s="22">
        <v>23.19</v>
      </c>
      <c r="K61" s="106">
        <f t="shared" si="3"/>
        <v>173.92500000000001</v>
      </c>
    </row>
    <row r="62" spans="1:25" s="33" customFormat="1" x14ac:dyDescent="0.2">
      <c r="A62" s="105">
        <v>2230700369</v>
      </c>
      <c r="B62" s="21" t="s">
        <v>211</v>
      </c>
      <c r="C62" s="348">
        <v>1.5</v>
      </c>
      <c r="D62" s="348">
        <v>0</v>
      </c>
      <c r="E62" s="348">
        <v>2</v>
      </c>
      <c r="F62" s="354">
        <v>1.5</v>
      </c>
      <c r="G62" s="348">
        <v>1</v>
      </c>
      <c r="H62" s="21">
        <f t="shared" si="2"/>
        <v>6</v>
      </c>
      <c r="I62" s="97" t="s">
        <v>14</v>
      </c>
      <c r="J62" s="22">
        <v>18.05</v>
      </c>
      <c r="K62" s="106">
        <f t="shared" si="3"/>
        <v>108.30000000000001</v>
      </c>
    </row>
    <row r="63" spans="1:25" s="33" customFormat="1" x14ac:dyDescent="0.2">
      <c r="A63" s="105">
        <v>2230700803</v>
      </c>
      <c r="B63" s="21" t="s">
        <v>212</v>
      </c>
      <c r="C63" s="348">
        <v>1</v>
      </c>
      <c r="D63" s="348">
        <v>1</v>
      </c>
      <c r="E63" s="348">
        <v>6</v>
      </c>
      <c r="F63" s="354">
        <v>1</v>
      </c>
      <c r="G63" s="348">
        <v>1</v>
      </c>
      <c r="H63" s="236">
        <f t="shared" si="2"/>
        <v>10</v>
      </c>
      <c r="I63" s="97" t="s">
        <v>14</v>
      </c>
      <c r="J63" s="22">
        <v>35</v>
      </c>
      <c r="K63" s="106">
        <f t="shared" si="3"/>
        <v>350</v>
      </c>
    </row>
    <row r="64" spans="1:25" hidden="1" x14ac:dyDescent="0.2">
      <c r="A64" s="105">
        <v>2230700401</v>
      </c>
      <c r="B64" s="21" t="s">
        <v>147</v>
      </c>
      <c r="C64" s="348">
        <v>0.5</v>
      </c>
      <c r="D64" s="348">
        <v>0.5</v>
      </c>
      <c r="E64" s="348">
        <v>3</v>
      </c>
      <c r="F64" s="354">
        <v>1</v>
      </c>
      <c r="G64" s="348">
        <v>1</v>
      </c>
      <c r="H64" s="236">
        <f t="shared" si="2"/>
        <v>6</v>
      </c>
      <c r="I64" s="97" t="s">
        <v>14</v>
      </c>
      <c r="J64" s="22">
        <v>39.19</v>
      </c>
      <c r="K64" s="106">
        <f t="shared" si="3"/>
        <v>235.14</v>
      </c>
    </row>
    <row r="65" spans="1:11" ht="16" x14ac:dyDescent="0.2">
      <c r="A65" s="105">
        <v>2230700516</v>
      </c>
      <c r="B65" s="66" t="s">
        <v>213</v>
      </c>
      <c r="C65" s="348">
        <v>2</v>
      </c>
      <c r="D65" s="348">
        <v>1</v>
      </c>
      <c r="E65" s="348">
        <v>3</v>
      </c>
      <c r="F65" s="354">
        <v>0.5</v>
      </c>
      <c r="G65" s="348">
        <v>1</v>
      </c>
      <c r="H65" s="21">
        <f>SUM(C65:G65)</f>
        <v>7.5</v>
      </c>
      <c r="I65" s="97" t="s">
        <v>14</v>
      </c>
      <c r="J65" s="22">
        <v>31</v>
      </c>
      <c r="K65" s="106">
        <f>H65*J65</f>
        <v>232.5</v>
      </c>
    </row>
    <row r="66" spans="1:11" s="33" customFormat="1" ht="16" thickBot="1" x14ac:dyDescent="0.25">
      <c r="A66" s="330">
        <v>2230400785</v>
      </c>
      <c r="B66" s="232" t="s">
        <v>214</v>
      </c>
      <c r="C66" s="355">
        <v>2</v>
      </c>
      <c r="D66" s="355">
        <v>1</v>
      </c>
      <c r="E66" s="355">
        <v>7</v>
      </c>
      <c r="F66" s="356">
        <v>1</v>
      </c>
      <c r="G66" s="355">
        <v>1</v>
      </c>
      <c r="H66" s="331">
        <f t="shared" ref="H66" si="4">SUM(C66:G66)</f>
        <v>12</v>
      </c>
      <c r="I66" s="332">
        <v>750</v>
      </c>
      <c r="J66" s="164">
        <v>20.239999999999998</v>
      </c>
      <c r="K66" s="314">
        <f t="shared" ref="K66" si="5">H66*J66</f>
        <v>242.88</v>
      </c>
    </row>
    <row r="67" spans="1:11" x14ac:dyDescent="0.2">
      <c r="A67" s="310" t="s">
        <v>80</v>
      </c>
      <c r="B67" s="21" t="s">
        <v>215</v>
      </c>
      <c r="C67" s="69"/>
      <c r="D67" s="21">
        <v>3</v>
      </c>
      <c r="E67" s="21">
        <v>0</v>
      </c>
      <c r="F67" s="21">
        <v>1</v>
      </c>
      <c r="G67" s="255">
        <v>1</v>
      </c>
      <c r="H67" s="309">
        <f>SUM(C67:G67)</f>
        <v>5</v>
      </c>
      <c r="I67" s="98" t="s">
        <v>14</v>
      </c>
      <c r="J67" s="22">
        <v>9</v>
      </c>
      <c r="K67" s="106">
        <f>H67*J67</f>
        <v>45</v>
      </c>
    </row>
    <row r="68" spans="1:11" ht="48" customHeight="1" x14ac:dyDescent="0.2"/>
    <row r="69" spans="1:11" s="33" customFormat="1" ht="12.75" customHeight="1" x14ac:dyDescent="0.2"/>
    <row r="70" spans="1:11" s="33" customFormat="1" ht="16" thickBot="1" x14ac:dyDescent="0.25">
      <c r="A70" s="175"/>
      <c r="B70" s="176" t="s">
        <v>0</v>
      </c>
      <c r="C70" s="177"/>
      <c r="D70" s="177"/>
      <c r="E70" s="177"/>
      <c r="F70" s="177"/>
      <c r="G70" s="177"/>
      <c r="H70" s="177"/>
      <c r="I70" s="178" t="s">
        <v>1</v>
      </c>
      <c r="J70" s="179">
        <f>J4</f>
        <v>46113</v>
      </c>
      <c r="K70" s="180"/>
    </row>
    <row r="71" spans="1:11" s="33" customFormat="1" ht="49" thickBot="1" x14ac:dyDescent="0.25">
      <c r="A71" s="68" t="s">
        <v>2</v>
      </c>
      <c r="B71" s="61" t="s">
        <v>54</v>
      </c>
      <c r="C71" s="183" t="s">
        <v>4</v>
      </c>
      <c r="D71" s="2" t="s">
        <v>5</v>
      </c>
      <c r="E71" s="2" t="s">
        <v>6</v>
      </c>
      <c r="F71" s="3" t="s">
        <v>7</v>
      </c>
      <c r="G71" s="4" t="s">
        <v>8</v>
      </c>
      <c r="H71" s="5" t="s">
        <v>9</v>
      </c>
      <c r="I71" s="62" t="s">
        <v>10</v>
      </c>
      <c r="J71" s="63" t="s">
        <v>11</v>
      </c>
      <c r="K71" s="64" t="s">
        <v>12</v>
      </c>
    </row>
    <row r="72" spans="1:11" s="33" customFormat="1" ht="16" x14ac:dyDescent="0.2">
      <c r="A72" s="334">
        <v>2230400373</v>
      </c>
      <c r="B72" s="335" t="s">
        <v>82</v>
      </c>
      <c r="C72" s="69"/>
      <c r="D72" s="69">
        <v>0</v>
      </c>
      <c r="E72" s="69">
        <v>0</v>
      </c>
      <c r="F72" s="69">
        <v>0</v>
      </c>
      <c r="G72" s="258">
        <v>0</v>
      </c>
      <c r="H72" s="336">
        <f t="shared" ref="H72" si="6">SUM(C72:G72)</f>
        <v>0</v>
      </c>
      <c r="I72" s="337" t="s">
        <v>14</v>
      </c>
      <c r="J72" s="338">
        <v>9.5</v>
      </c>
      <c r="K72" s="339">
        <f t="shared" ref="K72:K98" si="7">H72*J72</f>
        <v>0</v>
      </c>
    </row>
    <row r="73" spans="1:11" s="33" customFormat="1" ht="16" x14ac:dyDescent="0.2">
      <c r="A73" s="165">
        <v>2230250006</v>
      </c>
      <c r="B73" s="311" t="s">
        <v>216</v>
      </c>
      <c r="C73" s="89"/>
      <c r="D73" s="89"/>
      <c r="E73" s="350">
        <v>23</v>
      </c>
      <c r="F73" s="89"/>
      <c r="G73" s="340"/>
      <c r="H73" s="309">
        <f>SUM(E73)</f>
        <v>23</v>
      </c>
      <c r="I73" s="167" t="s">
        <v>85</v>
      </c>
      <c r="J73" s="23">
        <v>59.99</v>
      </c>
      <c r="K73" s="131">
        <f t="shared" si="7"/>
        <v>1379.77</v>
      </c>
    </row>
    <row r="74" spans="1:11" s="33" customFormat="1" ht="16" x14ac:dyDescent="0.2">
      <c r="A74" s="165">
        <v>2230200006</v>
      </c>
      <c r="B74" s="311" t="s">
        <v>217</v>
      </c>
      <c r="C74" s="89"/>
      <c r="D74" s="89"/>
      <c r="E74" s="350">
        <v>15.5</v>
      </c>
      <c r="F74" s="89"/>
      <c r="G74" s="340"/>
      <c r="H74" s="231">
        <f>SUM(E74)</f>
        <v>15.5</v>
      </c>
      <c r="I74" s="167" t="s">
        <v>14</v>
      </c>
      <c r="J74" s="23">
        <v>6.56</v>
      </c>
      <c r="K74" s="131">
        <f t="shared" si="7"/>
        <v>101.67999999999999</v>
      </c>
    </row>
    <row r="75" spans="1:11" s="33" customFormat="1" ht="16" x14ac:dyDescent="0.2">
      <c r="A75" s="105">
        <v>2230400037</v>
      </c>
      <c r="B75" s="66" t="s">
        <v>218</v>
      </c>
      <c r="C75" s="69"/>
      <c r="D75" s="69"/>
      <c r="E75" s="348">
        <v>6</v>
      </c>
      <c r="F75" s="69"/>
      <c r="G75" s="258"/>
      <c r="H75" s="231">
        <f>SUM(E75)</f>
        <v>6</v>
      </c>
      <c r="I75" s="97" t="s">
        <v>14</v>
      </c>
      <c r="J75" s="22">
        <v>2.79</v>
      </c>
      <c r="K75" s="106">
        <f t="shared" si="7"/>
        <v>16.740000000000002</v>
      </c>
    </row>
    <row r="76" spans="1:11" s="33" customFormat="1" ht="16" x14ac:dyDescent="0.2">
      <c r="A76" s="105">
        <v>2230400035</v>
      </c>
      <c r="B76" s="66" t="s">
        <v>219</v>
      </c>
      <c r="C76" s="69"/>
      <c r="D76" s="69"/>
      <c r="E76" s="348">
        <v>4</v>
      </c>
      <c r="F76" s="69"/>
      <c r="G76" s="258"/>
      <c r="H76" s="231">
        <f>SUM(E76)</f>
        <v>4</v>
      </c>
      <c r="I76" s="97" t="s">
        <v>14</v>
      </c>
      <c r="J76" s="22">
        <v>11.5</v>
      </c>
      <c r="K76" s="106">
        <f t="shared" si="7"/>
        <v>46</v>
      </c>
    </row>
    <row r="77" spans="1:11" s="33" customFormat="1" x14ac:dyDescent="0.2">
      <c r="A77" s="21">
        <v>2230450143</v>
      </c>
      <c r="B77" s="21" t="s">
        <v>220</v>
      </c>
      <c r="C77" s="69"/>
      <c r="D77" s="69"/>
      <c r="E77" s="348">
        <v>2</v>
      </c>
      <c r="F77" s="69"/>
      <c r="G77" s="69"/>
      <c r="H77" s="21">
        <v>4</v>
      </c>
      <c r="I77" s="167" t="s">
        <v>85</v>
      </c>
      <c r="J77" s="22">
        <v>15.01</v>
      </c>
      <c r="K77" s="106">
        <f t="shared" si="7"/>
        <v>60.04</v>
      </c>
    </row>
    <row r="78" spans="1:11" s="33" customFormat="1" ht="16" hidden="1" x14ac:dyDescent="0.2">
      <c r="A78" s="165">
        <v>2230450014</v>
      </c>
      <c r="B78" s="311" t="s">
        <v>89</v>
      </c>
      <c r="C78" s="89"/>
      <c r="D78" s="89"/>
      <c r="E78" s="350">
        <v>5.5</v>
      </c>
      <c r="F78" s="89"/>
      <c r="G78" s="340"/>
      <c r="H78" s="309">
        <f t="shared" ref="H78:H98" si="8">SUM(E78)</f>
        <v>5.5</v>
      </c>
      <c r="I78" s="167" t="s">
        <v>85</v>
      </c>
      <c r="J78" s="23">
        <v>10.68</v>
      </c>
      <c r="K78" s="131">
        <f t="shared" si="7"/>
        <v>58.739999999999995</v>
      </c>
    </row>
    <row r="79" spans="1:11" s="33" customFormat="1" ht="16" x14ac:dyDescent="0.2">
      <c r="A79" s="105">
        <v>2230350067</v>
      </c>
      <c r="B79" s="66" t="s">
        <v>221</v>
      </c>
      <c r="C79" s="69"/>
      <c r="D79" s="69"/>
      <c r="E79" s="348">
        <v>19</v>
      </c>
      <c r="F79" s="69"/>
      <c r="G79" s="258"/>
      <c r="H79" s="309">
        <f t="shared" si="8"/>
        <v>19</v>
      </c>
      <c r="I79" s="167" t="s">
        <v>85</v>
      </c>
      <c r="J79" s="22">
        <v>10.26</v>
      </c>
      <c r="K79" s="131">
        <f t="shared" si="7"/>
        <v>194.94</v>
      </c>
    </row>
    <row r="80" spans="1:11" s="33" customFormat="1" ht="16" x14ac:dyDescent="0.2">
      <c r="A80" s="105">
        <v>2230350017</v>
      </c>
      <c r="B80" s="66" t="s">
        <v>222</v>
      </c>
      <c r="C80" s="69"/>
      <c r="D80" s="69"/>
      <c r="E80" s="348">
        <v>8</v>
      </c>
      <c r="F80" s="69"/>
      <c r="G80" s="258"/>
      <c r="H80" s="231">
        <f t="shared" si="8"/>
        <v>8</v>
      </c>
      <c r="I80" s="167" t="s">
        <v>85</v>
      </c>
      <c r="J80" s="22">
        <v>36</v>
      </c>
      <c r="K80" s="131">
        <f t="shared" si="7"/>
        <v>288</v>
      </c>
    </row>
    <row r="81" spans="1:11" s="33" customFormat="1" ht="16" x14ac:dyDescent="0.2">
      <c r="A81" s="105">
        <v>2230400047</v>
      </c>
      <c r="B81" s="66" t="s">
        <v>223</v>
      </c>
      <c r="C81" s="69"/>
      <c r="D81" s="69"/>
      <c r="E81" s="348">
        <v>5</v>
      </c>
      <c r="F81" s="69"/>
      <c r="G81" s="258"/>
      <c r="H81" s="231">
        <f t="shared" si="8"/>
        <v>5</v>
      </c>
      <c r="I81" s="167" t="s">
        <v>85</v>
      </c>
      <c r="J81" s="22">
        <v>18.739999999999998</v>
      </c>
      <c r="K81" s="131">
        <f t="shared" si="7"/>
        <v>93.699999999999989</v>
      </c>
    </row>
    <row r="82" spans="1:11" s="33" customFormat="1" ht="16" hidden="1" x14ac:dyDescent="0.2">
      <c r="A82" s="105">
        <v>2230450021</v>
      </c>
      <c r="B82" s="66" t="s">
        <v>93</v>
      </c>
      <c r="C82" s="69"/>
      <c r="D82" s="69"/>
      <c r="E82" s="348">
        <v>6</v>
      </c>
      <c r="F82" s="69"/>
      <c r="G82" s="258"/>
      <c r="H82" s="309">
        <f t="shared" si="8"/>
        <v>6</v>
      </c>
      <c r="I82" s="167" t="s">
        <v>85</v>
      </c>
      <c r="J82" s="22">
        <v>19.739999999999998</v>
      </c>
      <c r="K82" s="131">
        <f t="shared" si="7"/>
        <v>118.44</v>
      </c>
    </row>
    <row r="83" spans="1:11" s="33" customFormat="1" ht="16" x14ac:dyDescent="0.2">
      <c r="A83" s="105">
        <v>2230450021</v>
      </c>
      <c r="B83" s="66" t="s">
        <v>224</v>
      </c>
      <c r="C83" s="69"/>
      <c r="D83" s="69"/>
      <c r="E83" s="348">
        <v>8</v>
      </c>
      <c r="F83" s="69"/>
      <c r="G83" s="258"/>
      <c r="H83" s="309">
        <f t="shared" si="8"/>
        <v>8</v>
      </c>
      <c r="I83" s="167" t="s">
        <v>85</v>
      </c>
      <c r="J83" s="22">
        <v>19.489999999999998</v>
      </c>
      <c r="K83" s="131">
        <f t="shared" si="7"/>
        <v>155.91999999999999</v>
      </c>
    </row>
    <row r="84" spans="1:11" s="33" customFormat="1" ht="16" x14ac:dyDescent="0.2">
      <c r="A84" s="105">
        <v>2230450034</v>
      </c>
      <c r="B84" s="66" t="s">
        <v>225</v>
      </c>
      <c r="C84" s="69"/>
      <c r="D84" s="69"/>
      <c r="E84" s="348">
        <v>22</v>
      </c>
      <c r="F84" s="69"/>
      <c r="G84" s="258"/>
      <c r="H84" s="231">
        <f t="shared" si="8"/>
        <v>22</v>
      </c>
      <c r="I84" s="167" t="s">
        <v>85</v>
      </c>
      <c r="J84" s="22">
        <v>10.4</v>
      </c>
      <c r="K84" s="131">
        <f t="shared" si="7"/>
        <v>228.8</v>
      </c>
    </row>
    <row r="85" spans="1:11" s="33" customFormat="1" ht="16" x14ac:dyDescent="0.2">
      <c r="A85" s="105">
        <v>2230450017</v>
      </c>
      <c r="B85" s="66" t="s">
        <v>226</v>
      </c>
      <c r="C85" s="69"/>
      <c r="D85" s="69"/>
      <c r="E85" s="348">
        <v>6</v>
      </c>
      <c r="F85" s="69"/>
      <c r="G85" s="258"/>
      <c r="H85" s="231">
        <f t="shared" si="8"/>
        <v>6</v>
      </c>
      <c r="I85" s="167" t="s">
        <v>85</v>
      </c>
      <c r="J85" s="22">
        <v>21</v>
      </c>
      <c r="K85" s="131">
        <f t="shared" si="7"/>
        <v>126</v>
      </c>
    </row>
    <row r="86" spans="1:11" s="33" customFormat="1" ht="16" x14ac:dyDescent="0.2">
      <c r="A86" s="105">
        <v>2230450030</v>
      </c>
      <c r="B86" s="66" t="s">
        <v>227</v>
      </c>
      <c r="C86" s="69"/>
      <c r="D86" s="69"/>
      <c r="E86" s="348">
        <v>20</v>
      </c>
      <c r="F86" s="69"/>
      <c r="G86" s="258"/>
      <c r="H86" s="231">
        <f t="shared" si="8"/>
        <v>20</v>
      </c>
      <c r="I86" s="97" t="s">
        <v>85</v>
      </c>
      <c r="J86" s="22">
        <v>23.2</v>
      </c>
      <c r="K86" s="106">
        <f>H86*J86</f>
        <v>464</v>
      </c>
    </row>
    <row r="87" spans="1:11" s="33" customFormat="1" ht="15.75" hidden="1" customHeight="1" thickBot="1" x14ac:dyDescent="0.25">
      <c r="A87" s="165">
        <v>2230500038</v>
      </c>
      <c r="B87" s="311" t="s">
        <v>97</v>
      </c>
      <c r="C87" s="89"/>
      <c r="D87" s="89"/>
      <c r="E87" s="236">
        <v>6</v>
      </c>
      <c r="F87" s="89"/>
      <c r="G87" s="340"/>
      <c r="H87" s="231">
        <f t="shared" si="8"/>
        <v>6</v>
      </c>
      <c r="I87" s="167" t="s">
        <v>85</v>
      </c>
      <c r="J87" s="23">
        <v>15.09</v>
      </c>
      <c r="K87" s="131">
        <f t="shared" si="7"/>
        <v>90.539999999999992</v>
      </c>
    </row>
    <row r="88" spans="1:11" s="33" customFormat="1" ht="16" x14ac:dyDescent="0.2">
      <c r="A88" s="105">
        <v>2230550024</v>
      </c>
      <c r="B88" s="66" t="s">
        <v>228</v>
      </c>
      <c r="C88" s="69"/>
      <c r="D88" s="69"/>
      <c r="E88" s="348">
        <v>29</v>
      </c>
      <c r="F88" s="69"/>
      <c r="G88" s="258"/>
      <c r="H88" s="231">
        <f t="shared" si="8"/>
        <v>29</v>
      </c>
      <c r="I88" s="167" t="s">
        <v>85</v>
      </c>
      <c r="J88" s="22">
        <v>16</v>
      </c>
      <c r="K88" s="131">
        <f t="shared" si="7"/>
        <v>464</v>
      </c>
    </row>
    <row r="89" spans="1:11" s="33" customFormat="1" ht="17" thickBot="1" x14ac:dyDescent="0.25">
      <c r="A89" s="105">
        <v>2230550182</v>
      </c>
      <c r="B89" s="66" t="s">
        <v>229</v>
      </c>
      <c r="C89" s="69"/>
      <c r="D89" s="69"/>
      <c r="E89" s="348">
        <v>10</v>
      </c>
      <c r="F89" s="69"/>
      <c r="G89" s="258"/>
      <c r="H89" s="231">
        <f t="shared" si="8"/>
        <v>10</v>
      </c>
      <c r="I89" s="167" t="s">
        <v>100</v>
      </c>
      <c r="J89" s="22">
        <v>80</v>
      </c>
      <c r="K89" s="131">
        <f t="shared" si="7"/>
        <v>800</v>
      </c>
    </row>
    <row r="90" spans="1:11" s="33" customFormat="1" ht="15" hidden="1" customHeight="1" x14ac:dyDescent="0.2">
      <c r="A90" s="105">
        <v>2230650123</v>
      </c>
      <c r="B90" s="66" t="s">
        <v>101</v>
      </c>
      <c r="C90" s="69"/>
      <c r="D90" s="69"/>
      <c r="E90" s="348">
        <v>5</v>
      </c>
      <c r="F90" s="69"/>
      <c r="G90" s="258"/>
      <c r="H90" s="231">
        <f t="shared" si="8"/>
        <v>5</v>
      </c>
      <c r="I90" s="167" t="s">
        <v>85</v>
      </c>
      <c r="J90" s="22">
        <v>42.74</v>
      </c>
      <c r="K90" s="131">
        <f t="shared" si="7"/>
        <v>213.70000000000002</v>
      </c>
    </row>
    <row r="91" spans="1:11" s="33" customFormat="1" ht="15" hidden="1" customHeight="1" x14ac:dyDescent="0.2">
      <c r="A91" s="105">
        <v>2230650147</v>
      </c>
      <c r="B91" s="66" t="s">
        <v>156</v>
      </c>
      <c r="C91" s="69"/>
      <c r="D91" s="69"/>
      <c r="E91" s="348">
        <v>0</v>
      </c>
      <c r="F91" s="69"/>
      <c r="G91" s="258"/>
      <c r="H91" s="231"/>
      <c r="I91" s="167" t="s">
        <v>85</v>
      </c>
      <c r="J91" s="22">
        <v>8</v>
      </c>
      <c r="K91" s="131">
        <f t="shared" si="7"/>
        <v>0</v>
      </c>
    </row>
    <row r="92" spans="1:11" s="33" customFormat="1" ht="16" x14ac:dyDescent="0.2">
      <c r="A92" s="105">
        <v>2230650147</v>
      </c>
      <c r="B92" s="66" t="s">
        <v>230</v>
      </c>
      <c r="C92" s="69"/>
      <c r="D92" s="69"/>
      <c r="E92" s="348">
        <v>7</v>
      </c>
      <c r="F92" s="69"/>
      <c r="G92" s="258"/>
      <c r="H92" s="312">
        <v>7</v>
      </c>
      <c r="I92" s="167" t="s">
        <v>85</v>
      </c>
      <c r="J92" s="22">
        <v>7.99</v>
      </c>
      <c r="K92" s="106">
        <f t="shared" si="7"/>
        <v>55.93</v>
      </c>
    </row>
    <row r="93" spans="1:11" s="33" customFormat="1" ht="16" x14ac:dyDescent="0.2">
      <c r="A93" s="105">
        <v>2230650123</v>
      </c>
      <c r="B93" s="66" t="s">
        <v>231</v>
      </c>
      <c r="C93" s="69"/>
      <c r="D93" s="69"/>
      <c r="E93" s="348">
        <v>2</v>
      </c>
      <c r="F93" s="69"/>
      <c r="G93" s="258"/>
      <c r="H93" s="231">
        <f t="shared" si="8"/>
        <v>2</v>
      </c>
      <c r="I93" s="167" t="s">
        <v>85</v>
      </c>
      <c r="J93" s="22">
        <v>42.74</v>
      </c>
      <c r="K93" s="106">
        <f t="shared" si="7"/>
        <v>85.48</v>
      </c>
    </row>
    <row r="94" spans="1:11" s="33" customFormat="1" ht="17.25" customHeight="1" x14ac:dyDescent="0.2">
      <c r="A94" s="105">
        <v>2230700299</v>
      </c>
      <c r="B94" s="66" t="s">
        <v>232</v>
      </c>
      <c r="C94" s="69"/>
      <c r="D94" s="69"/>
      <c r="E94" s="348">
        <v>27</v>
      </c>
      <c r="F94" s="69"/>
      <c r="G94" s="258"/>
      <c r="H94" s="231">
        <f t="shared" si="8"/>
        <v>27</v>
      </c>
      <c r="I94" s="167" t="s">
        <v>85</v>
      </c>
      <c r="J94" s="22">
        <v>40</v>
      </c>
      <c r="K94" s="106">
        <f t="shared" si="7"/>
        <v>1080</v>
      </c>
    </row>
    <row r="95" spans="1:11" s="33" customFormat="1" ht="14.25" customHeight="1" x14ac:dyDescent="0.2">
      <c r="A95" s="105">
        <v>2230700698</v>
      </c>
      <c r="B95" s="66" t="s">
        <v>233</v>
      </c>
      <c r="C95" s="69"/>
      <c r="D95" s="69"/>
      <c r="E95" s="348">
        <v>5</v>
      </c>
      <c r="F95" s="69"/>
      <c r="G95" s="258"/>
      <c r="H95" s="231">
        <f t="shared" si="8"/>
        <v>5</v>
      </c>
      <c r="I95" s="167" t="s">
        <v>85</v>
      </c>
      <c r="J95" s="22">
        <v>32</v>
      </c>
      <c r="K95" s="106">
        <f t="shared" si="7"/>
        <v>160</v>
      </c>
    </row>
    <row r="96" spans="1:11" s="33" customFormat="1" ht="16" hidden="1" x14ac:dyDescent="0.2">
      <c r="A96" s="105">
        <v>2230650216</v>
      </c>
      <c r="B96" s="66" t="s">
        <v>104</v>
      </c>
      <c r="C96" s="69"/>
      <c r="D96" s="69"/>
      <c r="E96" s="348">
        <v>21</v>
      </c>
      <c r="F96" s="69"/>
      <c r="G96" s="258"/>
      <c r="H96" s="309">
        <f t="shared" si="8"/>
        <v>21</v>
      </c>
      <c r="I96" s="167" t="s">
        <v>85</v>
      </c>
      <c r="J96" s="22">
        <v>28.8</v>
      </c>
      <c r="K96" s="106">
        <f t="shared" si="7"/>
        <v>604.80000000000007</v>
      </c>
    </row>
    <row r="97" spans="1:11" s="33" customFormat="1" ht="18" customHeight="1" x14ac:dyDescent="0.2">
      <c r="A97" s="324">
        <v>2230650052</v>
      </c>
      <c r="B97" s="66" t="s">
        <v>149</v>
      </c>
      <c r="C97" s="69"/>
      <c r="D97" s="69"/>
      <c r="E97" s="348">
        <v>0</v>
      </c>
      <c r="F97" s="69"/>
      <c r="G97" s="258"/>
      <c r="H97" s="231">
        <f t="shared" si="8"/>
        <v>0</v>
      </c>
      <c r="I97" s="97" t="s">
        <v>14</v>
      </c>
      <c r="J97" s="22">
        <v>20</v>
      </c>
      <c r="K97" s="106">
        <f t="shared" si="7"/>
        <v>0</v>
      </c>
    </row>
    <row r="98" spans="1:11" s="33" customFormat="1" ht="16" x14ac:dyDescent="0.2">
      <c r="A98" s="105">
        <v>2230700700</v>
      </c>
      <c r="B98" s="66" t="s">
        <v>234</v>
      </c>
      <c r="C98" s="69"/>
      <c r="D98" s="69"/>
      <c r="E98" s="348">
        <v>19</v>
      </c>
      <c r="F98" s="69"/>
      <c r="G98" s="258"/>
      <c r="H98" s="231">
        <f t="shared" si="8"/>
        <v>19</v>
      </c>
      <c r="I98" s="167" t="s">
        <v>85</v>
      </c>
      <c r="J98" s="22">
        <v>42.4</v>
      </c>
      <c r="K98" s="106">
        <f t="shared" si="7"/>
        <v>805.6</v>
      </c>
    </row>
    <row r="99" spans="1:11" ht="15" customHeight="1" x14ac:dyDescent="0.2">
      <c r="A99" s="105">
        <v>2230700016</v>
      </c>
      <c r="B99" s="66" t="s">
        <v>235</v>
      </c>
      <c r="C99" s="69"/>
      <c r="D99" s="69"/>
      <c r="E99" s="348">
        <v>7</v>
      </c>
      <c r="F99" s="69"/>
      <c r="G99" s="258"/>
      <c r="H99" s="231">
        <f>SUM(E99)</f>
        <v>7</v>
      </c>
      <c r="I99" s="97" t="s">
        <v>85</v>
      </c>
      <c r="J99" s="22">
        <v>19.190000000000001</v>
      </c>
      <c r="K99" s="106">
        <f>H99*J99</f>
        <v>134.33000000000001</v>
      </c>
    </row>
    <row r="100" spans="1:11" ht="16" x14ac:dyDescent="0.2">
      <c r="A100" s="105">
        <v>2230700480</v>
      </c>
      <c r="B100" s="66" t="s">
        <v>236</v>
      </c>
      <c r="C100" s="69"/>
      <c r="D100" s="69"/>
      <c r="E100" s="348">
        <v>28</v>
      </c>
      <c r="F100" s="69"/>
      <c r="G100" s="69"/>
      <c r="H100" s="21">
        <f>SUM(E100)</f>
        <v>28</v>
      </c>
      <c r="I100" s="261" t="s">
        <v>85</v>
      </c>
      <c r="J100" s="22">
        <v>12</v>
      </c>
      <c r="K100" s="106">
        <f>H100*J100</f>
        <v>336</v>
      </c>
    </row>
    <row r="101" spans="1:11" s="33" customFormat="1" ht="16" x14ac:dyDescent="0.2">
      <c r="A101" s="107">
        <v>2230700056</v>
      </c>
      <c r="B101" s="66" t="s">
        <v>237</v>
      </c>
      <c r="C101" s="69"/>
      <c r="D101" s="69"/>
      <c r="E101" s="348">
        <v>23</v>
      </c>
      <c r="F101" s="69"/>
      <c r="G101" s="69"/>
      <c r="H101" s="21">
        <f>SUM(E101)</f>
        <v>23</v>
      </c>
      <c r="I101" s="261" t="s">
        <v>85</v>
      </c>
      <c r="J101" s="22">
        <v>44.24</v>
      </c>
      <c r="K101" s="106">
        <f>H101*J101</f>
        <v>1017.5200000000001</v>
      </c>
    </row>
    <row r="102" spans="1:11" s="33" customFormat="1" ht="17" thickBot="1" x14ac:dyDescent="0.25">
      <c r="A102" s="108">
        <v>2230400763</v>
      </c>
      <c r="B102" s="313" t="s">
        <v>238</v>
      </c>
      <c r="C102" s="120"/>
      <c r="D102" s="120"/>
      <c r="E102" s="355">
        <v>4</v>
      </c>
      <c r="F102" s="120"/>
      <c r="G102" s="120"/>
      <c r="H102" s="232">
        <f>SUM(E102)</f>
        <v>4</v>
      </c>
      <c r="I102" s="325" t="s">
        <v>14</v>
      </c>
      <c r="J102" s="164">
        <v>10</v>
      </c>
      <c r="K102" s="314">
        <f>H102*J102</f>
        <v>40</v>
      </c>
    </row>
    <row r="103" spans="1:11" s="33" customFormat="1" ht="16" x14ac:dyDescent="0.2">
      <c r="A103" s="79"/>
      <c r="H103" s="44" t="s">
        <v>111</v>
      </c>
      <c r="I103"/>
      <c r="J103" s="127"/>
      <c r="K103" s="128">
        <f>SUM(K6:K66,K67:K88,K67:K102)</f>
        <v>18437.555000000008</v>
      </c>
    </row>
    <row r="104" spans="1:11" s="33" customFormat="1" ht="16" thickBot="1" x14ac:dyDescent="0.25">
      <c r="A104" s="80"/>
      <c r="B104"/>
      <c r="C104"/>
      <c r="D104"/>
      <c r="E104"/>
      <c r="F104"/>
      <c r="G104"/>
      <c r="H104"/>
      <c r="I104"/>
      <c r="J104"/>
      <c r="K104"/>
    </row>
    <row r="105" spans="1:11" s="33" customFormat="1" ht="49" thickBot="1" x14ac:dyDescent="0.25">
      <c r="A105" s="67" t="s">
        <v>2</v>
      </c>
      <c r="B105" s="45" t="s">
        <v>157</v>
      </c>
      <c r="C105" s="1" t="s">
        <v>4</v>
      </c>
      <c r="D105" s="2" t="s">
        <v>5</v>
      </c>
      <c r="E105" s="149" t="s">
        <v>6</v>
      </c>
      <c r="F105" s="3" t="s">
        <v>7</v>
      </c>
      <c r="G105" s="46" t="s">
        <v>8</v>
      </c>
      <c r="H105" s="47" t="s">
        <v>9</v>
      </c>
      <c r="I105" s="48" t="s">
        <v>10</v>
      </c>
      <c r="J105" s="7" t="s">
        <v>113</v>
      </c>
      <c r="K105" s="8" t="s">
        <v>12</v>
      </c>
    </row>
    <row r="106" spans="1:11" s="33" customFormat="1" ht="16" x14ac:dyDescent="0.2">
      <c r="A106" s="315">
        <v>2210100007</v>
      </c>
      <c r="B106" s="181" t="s">
        <v>239</v>
      </c>
      <c r="C106" s="347">
        <v>57</v>
      </c>
      <c r="D106" s="347">
        <v>29</v>
      </c>
      <c r="E106" s="152"/>
      <c r="F106" s="347">
        <v>18</v>
      </c>
      <c r="G106" s="347">
        <v>24</v>
      </c>
      <c r="H106" s="304">
        <f>SUM(C106:D106,F106:G106)/24</f>
        <v>5.333333333333333</v>
      </c>
      <c r="I106" s="316" t="s">
        <v>42</v>
      </c>
      <c r="J106" s="317">
        <v>25.5</v>
      </c>
      <c r="K106" s="318">
        <f>H106*J106</f>
        <v>136</v>
      </c>
    </row>
    <row r="107" spans="1:11" s="33" customFormat="1" ht="16" x14ac:dyDescent="0.2">
      <c r="A107" s="319">
        <v>2210100009</v>
      </c>
      <c r="B107" s="83" t="s">
        <v>240</v>
      </c>
      <c r="C107" s="348">
        <v>36</v>
      </c>
      <c r="D107" s="348">
        <v>11</v>
      </c>
      <c r="E107" s="25"/>
      <c r="F107" s="348">
        <v>88</v>
      </c>
      <c r="G107" s="348">
        <v>24</v>
      </c>
      <c r="H107" s="236">
        <f t="shared" ref="H107:H127" si="9">SUM(C107:D107,F107:G107)/24</f>
        <v>6.625</v>
      </c>
      <c r="I107" s="320" t="s">
        <v>42</v>
      </c>
      <c r="J107" s="321">
        <v>26.65</v>
      </c>
      <c r="K107" s="322">
        <f>H107*J107</f>
        <v>176.55624999999998</v>
      </c>
    </row>
    <row r="108" spans="1:11" s="33" customFormat="1" ht="16" x14ac:dyDescent="0.2">
      <c r="A108" s="319">
        <v>2210100021</v>
      </c>
      <c r="B108" s="83" t="s">
        <v>241</v>
      </c>
      <c r="C108" s="348">
        <v>62</v>
      </c>
      <c r="D108" s="348">
        <v>23</v>
      </c>
      <c r="E108" s="25"/>
      <c r="F108" s="348">
        <v>22</v>
      </c>
      <c r="G108" s="348">
        <v>24</v>
      </c>
      <c r="H108" s="236">
        <f t="shared" si="9"/>
        <v>5.458333333333333</v>
      </c>
      <c r="I108" s="320" t="s">
        <v>42</v>
      </c>
      <c r="J108" s="321">
        <v>25.5</v>
      </c>
      <c r="K108" s="322">
        <f>H108*J108</f>
        <v>139.1875</v>
      </c>
    </row>
    <row r="109" spans="1:11" s="33" customFormat="1" ht="16" x14ac:dyDescent="0.2">
      <c r="A109" s="319">
        <v>2210100141</v>
      </c>
      <c r="B109" s="83" t="s">
        <v>242</v>
      </c>
      <c r="C109" s="348">
        <v>26</v>
      </c>
      <c r="D109" s="348">
        <v>16</v>
      </c>
      <c r="E109" s="25"/>
      <c r="F109" s="348">
        <v>10</v>
      </c>
      <c r="G109" s="348">
        <v>2</v>
      </c>
      <c r="H109" s="236">
        <f t="shared" si="9"/>
        <v>2.25</v>
      </c>
      <c r="I109" s="320" t="s">
        <v>42</v>
      </c>
      <c r="J109" s="321">
        <v>30.85</v>
      </c>
      <c r="K109" s="322">
        <f>H109*J109</f>
        <v>69.412500000000009</v>
      </c>
    </row>
    <row r="110" spans="1:11" s="33" customFormat="1" ht="16" x14ac:dyDescent="0.2">
      <c r="A110" s="319">
        <v>2210100268</v>
      </c>
      <c r="B110" s="83" t="s">
        <v>243</v>
      </c>
      <c r="C110" s="348">
        <v>22</v>
      </c>
      <c r="D110" s="348">
        <v>13</v>
      </c>
      <c r="E110" s="25"/>
      <c r="F110" s="348">
        <v>24</v>
      </c>
      <c r="G110" s="352">
        <v>12</v>
      </c>
      <c r="H110" s="236">
        <f t="shared" si="9"/>
        <v>2.9583333333333335</v>
      </c>
      <c r="I110" s="256" t="s">
        <v>42</v>
      </c>
      <c r="J110" s="321">
        <v>23.25</v>
      </c>
      <c r="K110" s="323">
        <f t="shared" ref="K110" si="10">H110*J110</f>
        <v>68.78125</v>
      </c>
    </row>
    <row r="111" spans="1:11" s="33" customFormat="1" ht="16" x14ac:dyDescent="0.2">
      <c r="A111" s="319">
        <v>2210150006</v>
      </c>
      <c r="B111" s="83" t="s">
        <v>244</v>
      </c>
      <c r="C111" s="348">
        <v>41</v>
      </c>
      <c r="D111" s="348">
        <v>25</v>
      </c>
      <c r="E111" s="25"/>
      <c r="F111" s="348">
        <v>21</v>
      </c>
      <c r="G111" s="348">
        <v>11</v>
      </c>
      <c r="H111" s="236">
        <f t="shared" si="9"/>
        <v>4.083333333333333</v>
      </c>
      <c r="I111" s="320" t="s">
        <v>42</v>
      </c>
      <c r="J111" s="321">
        <v>31.4</v>
      </c>
      <c r="K111" s="322">
        <f>H111*J111</f>
        <v>128.21666666666664</v>
      </c>
    </row>
    <row r="112" spans="1:11" s="33" customFormat="1" ht="16" x14ac:dyDescent="0.2">
      <c r="A112" s="319">
        <v>2210150029</v>
      </c>
      <c r="B112" s="83" t="s">
        <v>245</v>
      </c>
      <c r="C112" s="348">
        <v>21</v>
      </c>
      <c r="D112" s="348">
        <v>23</v>
      </c>
      <c r="E112" s="25"/>
      <c r="F112" s="348">
        <v>10</v>
      </c>
      <c r="G112" s="352">
        <v>4</v>
      </c>
      <c r="H112" s="236">
        <f t="shared" si="9"/>
        <v>2.4166666666666665</v>
      </c>
      <c r="I112" s="256" t="s">
        <v>42</v>
      </c>
      <c r="J112" s="321">
        <v>24.8</v>
      </c>
      <c r="K112" s="323">
        <f t="shared" ref="K112" si="11">H112*J112</f>
        <v>59.93333333333333</v>
      </c>
    </row>
    <row r="113" spans="1:11" s="33" customFormat="1" ht="16" x14ac:dyDescent="0.2">
      <c r="A113" s="319">
        <v>2210150264</v>
      </c>
      <c r="B113" s="83" t="s">
        <v>246</v>
      </c>
      <c r="C113" s="348">
        <v>20</v>
      </c>
      <c r="D113" s="348">
        <v>9</v>
      </c>
      <c r="E113" s="25"/>
      <c r="F113" s="348">
        <v>10</v>
      </c>
      <c r="G113" s="352">
        <v>12</v>
      </c>
      <c r="H113" s="236">
        <f t="shared" si="9"/>
        <v>2.125</v>
      </c>
      <c r="I113" s="256" t="s">
        <v>42</v>
      </c>
      <c r="J113" s="321">
        <v>31.4</v>
      </c>
      <c r="K113" s="323">
        <f>H113*J113</f>
        <v>66.724999999999994</v>
      </c>
    </row>
    <row r="114" spans="1:11" s="33" customFormat="1" ht="16" x14ac:dyDescent="0.2">
      <c r="A114" s="319">
        <v>2230310104</v>
      </c>
      <c r="B114" s="83" t="s">
        <v>247</v>
      </c>
      <c r="C114" s="348">
        <v>7</v>
      </c>
      <c r="D114" s="348">
        <v>9</v>
      </c>
      <c r="E114" s="25"/>
      <c r="F114" s="348">
        <v>12</v>
      </c>
      <c r="G114" s="352">
        <v>7</v>
      </c>
      <c r="H114" s="236">
        <f t="shared" si="9"/>
        <v>1.4583333333333333</v>
      </c>
      <c r="I114" s="256" t="s">
        <v>42</v>
      </c>
      <c r="J114" s="321">
        <v>33</v>
      </c>
      <c r="K114" s="323">
        <f t="shared" ref="K114:K127" si="12">H114*J114</f>
        <v>48.125</v>
      </c>
    </row>
    <row r="115" spans="1:11" ht="16" x14ac:dyDescent="0.2">
      <c r="A115" s="319">
        <v>2230310089</v>
      </c>
      <c r="B115" s="83" t="s">
        <v>249</v>
      </c>
      <c r="C115" s="348">
        <v>10</v>
      </c>
      <c r="D115" s="348">
        <v>3</v>
      </c>
      <c r="E115" s="25"/>
      <c r="F115" s="348">
        <v>10</v>
      </c>
      <c r="G115" s="348">
        <v>5</v>
      </c>
      <c r="H115" s="236">
        <f t="shared" si="9"/>
        <v>1.1666666666666667</v>
      </c>
      <c r="I115" s="320" t="s">
        <v>42</v>
      </c>
      <c r="J115" s="321">
        <v>33</v>
      </c>
      <c r="K115" s="322">
        <f t="shared" si="12"/>
        <v>38.5</v>
      </c>
    </row>
    <row r="116" spans="1:11" ht="16" x14ac:dyDescent="0.2">
      <c r="A116" s="319">
        <v>2010400126</v>
      </c>
      <c r="B116" s="83" t="s">
        <v>248</v>
      </c>
      <c r="C116" s="348">
        <v>7</v>
      </c>
      <c r="D116" s="348">
        <v>1</v>
      </c>
      <c r="E116" s="25"/>
      <c r="F116" s="348">
        <v>5</v>
      </c>
      <c r="G116" s="348">
        <v>2</v>
      </c>
      <c r="H116" s="236">
        <f t="shared" si="9"/>
        <v>0.625</v>
      </c>
      <c r="I116" s="320" t="s">
        <v>42</v>
      </c>
      <c r="J116" s="321">
        <v>29.4</v>
      </c>
      <c r="K116" s="322">
        <f t="shared" si="12"/>
        <v>18.375</v>
      </c>
    </row>
    <row r="117" spans="1:11" ht="16" x14ac:dyDescent="0.2">
      <c r="A117" s="319">
        <v>2210100016</v>
      </c>
      <c r="B117" s="83" t="s">
        <v>250</v>
      </c>
      <c r="C117" s="348">
        <v>22</v>
      </c>
      <c r="D117" s="348">
        <v>24</v>
      </c>
      <c r="E117" s="25"/>
      <c r="F117" s="348">
        <v>23</v>
      </c>
      <c r="G117" s="352">
        <v>24</v>
      </c>
      <c r="H117" s="236">
        <f t="shared" si="9"/>
        <v>3.875</v>
      </c>
      <c r="I117" s="256" t="s">
        <v>42</v>
      </c>
      <c r="J117" s="321">
        <v>26.95</v>
      </c>
      <c r="K117" s="323">
        <f t="shared" si="12"/>
        <v>104.43124999999999</v>
      </c>
    </row>
    <row r="118" spans="1:11" ht="16" x14ac:dyDescent="0.2">
      <c r="A118" s="319">
        <v>2210100018</v>
      </c>
      <c r="B118" s="83" t="s">
        <v>251</v>
      </c>
      <c r="C118" s="348">
        <v>61</v>
      </c>
      <c r="D118" s="348">
        <v>19</v>
      </c>
      <c r="E118" s="25"/>
      <c r="F118" s="348">
        <v>51</v>
      </c>
      <c r="G118" s="352">
        <v>14</v>
      </c>
      <c r="H118" s="236">
        <f t="shared" si="9"/>
        <v>6.041666666666667</v>
      </c>
      <c r="I118" s="256" t="s">
        <v>42</v>
      </c>
      <c r="J118" s="321">
        <v>26.95</v>
      </c>
      <c r="K118" s="323">
        <f t="shared" si="12"/>
        <v>162.82291666666666</v>
      </c>
    </row>
    <row r="119" spans="1:11" ht="16" x14ac:dyDescent="0.2">
      <c r="A119" s="319">
        <v>2240750012</v>
      </c>
      <c r="B119" s="83" t="s">
        <v>252</v>
      </c>
      <c r="C119" s="348">
        <v>6</v>
      </c>
      <c r="D119" s="348">
        <v>11</v>
      </c>
      <c r="E119" s="25"/>
      <c r="F119" s="348">
        <v>9</v>
      </c>
      <c r="G119" s="348">
        <v>8</v>
      </c>
      <c r="H119" s="236">
        <f t="shared" si="9"/>
        <v>1.4166666666666667</v>
      </c>
      <c r="I119" s="320" t="s">
        <v>42</v>
      </c>
      <c r="J119" s="321">
        <v>31.2</v>
      </c>
      <c r="K119" s="322">
        <f t="shared" si="12"/>
        <v>44.2</v>
      </c>
    </row>
    <row r="120" spans="1:11" ht="16" x14ac:dyDescent="0.2">
      <c r="A120" s="112">
        <v>2210100074</v>
      </c>
      <c r="B120" s="84" t="s">
        <v>253</v>
      </c>
      <c r="C120" s="348">
        <v>3</v>
      </c>
      <c r="D120" s="348">
        <v>8</v>
      </c>
      <c r="E120" s="25"/>
      <c r="F120" s="348">
        <v>4</v>
      </c>
      <c r="G120" s="348">
        <v>6</v>
      </c>
      <c r="H120" s="9">
        <f t="shared" si="9"/>
        <v>0.875</v>
      </c>
      <c r="I120" s="133" t="s">
        <v>42</v>
      </c>
      <c r="J120" s="50">
        <v>33</v>
      </c>
      <c r="K120" s="113">
        <f t="shared" si="12"/>
        <v>28.875</v>
      </c>
    </row>
    <row r="121" spans="1:11" ht="16" x14ac:dyDescent="0.2">
      <c r="A121" s="112">
        <v>2210100091</v>
      </c>
      <c r="B121" s="84" t="s">
        <v>254</v>
      </c>
      <c r="C121" s="348">
        <v>7</v>
      </c>
      <c r="D121" s="348">
        <v>10</v>
      </c>
      <c r="E121" s="25"/>
      <c r="F121" s="348">
        <v>6</v>
      </c>
      <c r="G121" s="348">
        <v>2</v>
      </c>
      <c r="H121" s="9">
        <f t="shared" si="9"/>
        <v>1.0416666666666667</v>
      </c>
      <c r="I121" s="133" t="s">
        <v>42</v>
      </c>
      <c r="J121" s="50">
        <v>48</v>
      </c>
      <c r="K121" s="113">
        <f t="shared" si="12"/>
        <v>50</v>
      </c>
    </row>
    <row r="122" spans="1:11" ht="16" x14ac:dyDescent="0.2">
      <c r="A122" s="112">
        <v>2210100151</v>
      </c>
      <c r="B122" s="84" t="s">
        <v>255</v>
      </c>
      <c r="C122" s="348">
        <v>6</v>
      </c>
      <c r="D122" s="348">
        <v>15</v>
      </c>
      <c r="E122" s="25"/>
      <c r="F122" s="348">
        <v>12</v>
      </c>
      <c r="G122" s="348">
        <v>4</v>
      </c>
      <c r="H122" s="9">
        <f t="shared" si="9"/>
        <v>1.5416666666666667</v>
      </c>
      <c r="I122" s="133" t="s">
        <v>42</v>
      </c>
      <c r="J122" s="50">
        <v>30</v>
      </c>
      <c r="K122" s="113">
        <f t="shared" si="12"/>
        <v>46.25</v>
      </c>
    </row>
    <row r="123" spans="1:11" ht="16" x14ac:dyDescent="0.2">
      <c r="A123" s="112">
        <v>2210101187</v>
      </c>
      <c r="B123" s="92" t="s">
        <v>256</v>
      </c>
      <c r="C123" s="348">
        <v>9</v>
      </c>
      <c r="D123" s="348">
        <v>6</v>
      </c>
      <c r="E123" s="25"/>
      <c r="F123" s="348">
        <v>6</v>
      </c>
      <c r="G123" s="348">
        <v>2</v>
      </c>
      <c r="H123" s="9">
        <f t="shared" si="9"/>
        <v>0.95833333333333337</v>
      </c>
      <c r="I123" s="134" t="s">
        <v>42</v>
      </c>
      <c r="J123" s="50">
        <v>25.6</v>
      </c>
      <c r="K123" s="113">
        <f t="shared" si="12"/>
        <v>24.533333333333335</v>
      </c>
    </row>
    <row r="124" spans="1:11" ht="16" x14ac:dyDescent="0.2">
      <c r="A124" s="112">
        <v>2210150007</v>
      </c>
      <c r="B124" s="84" t="s">
        <v>257</v>
      </c>
      <c r="C124" s="348">
        <v>41</v>
      </c>
      <c r="D124" s="348">
        <v>21</v>
      </c>
      <c r="E124" s="25"/>
      <c r="F124" s="348">
        <v>10</v>
      </c>
      <c r="G124" s="348">
        <v>12</v>
      </c>
      <c r="H124" s="9">
        <f t="shared" si="9"/>
        <v>3.5</v>
      </c>
      <c r="I124" s="133" t="s">
        <v>42</v>
      </c>
      <c r="J124" s="50">
        <v>30.22</v>
      </c>
      <c r="K124" s="113">
        <f t="shared" si="12"/>
        <v>105.77</v>
      </c>
    </row>
    <row r="125" spans="1:11" ht="16" x14ac:dyDescent="0.2">
      <c r="A125" s="112">
        <v>2210300010</v>
      </c>
      <c r="B125" s="84" t="s">
        <v>258</v>
      </c>
      <c r="C125" s="348">
        <v>8</v>
      </c>
      <c r="D125" s="348">
        <v>16</v>
      </c>
      <c r="E125" s="25"/>
      <c r="F125" s="348">
        <v>4</v>
      </c>
      <c r="G125" s="348">
        <v>4</v>
      </c>
      <c r="H125" s="9">
        <f t="shared" si="9"/>
        <v>1.3333333333333333</v>
      </c>
      <c r="I125" s="133" t="s">
        <v>42</v>
      </c>
      <c r="J125" s="50">
        <v>27</v>
      </c>
      <c r="K125" s="113">
        <f t="shared" si="12"/>
        <v>36</v>
      </c>
    </row>
    <row r="126" spans="1:11" ht="16" x14ac:dyDescent="0.2">
      <c r="A126" s="114">
        <v>2230300258</v>
      </c>
      <c r="B126" s="92" t="s">
        <v>259</v>
      </c>
      <c r="C126" s="349">
        <v>2</v>
      </c>
      <c r="D126" s="349">
        <v>2</v>
      </c>
      <c r="E126" s="346"/>
      <c r="F126" s="348">
        <v>2</v>
      </c>
      <c r="G126" s="348">
        <v>2</v>
      </c>
      <c r="H126" s="9">
        <f>SUM(C126:D126,F126:G126)/24</f>
        <v>0.33333333333333331</v>
      </c>
      <c r="I126" s="133" t="s">
        <v>42</v>
      </c>
      <c r="J126" s="50">
        <v>36.450000000000003</v>
      </c>
      <c r="K126" s="113">
        <f t="shared" si="12"/>
        <v>12.15</v>
      </c>
    </row>
    <row r="127" spans="1:11" ht="17" thickBot="1" x14ac:dyDescent="0.25">
      <c r="A127" s="115">
        <v>2210150092</v>
      </c>
      <c r="B127" s="116" t="s">
        <v>260</v>
      </c>
      <c r="C127" s="355">
        <v>6</v>
      </c>
      <c r="D127" s="355">
        <v>5</v>
      </c>
      <c r="E127" s="120"/>
      <c r="F127" s="355">
        <v>6</v>
      </c>
      <c r="G127" s="357">
        <v>4</v>
      </c>
      <c r="H127" s="121">
        <f t="shared" si="9"/>
        <v>0.875</v>
      </c>
      <c r="I127" s="103" t="s">
        <v>42</v>
      </c>
      <c r="J127" s="117">
        <v>30</v>
      </c>
      <c r="K127" s="118">
        <f t="shared" si="12"/>
        <v>26.25</v>
      </c>
    </row>
    <row r="133" spans="1:11" ht="16" thickBot="1" x14ac:dyDescent="0.25">
      <c r="A133" s="143"/>
      <c r="B133" s="144" t="s">
        <v>0</v>
      </c>
      <c r="C133" s="145"/>
      <c r="D133" s="145"/>
      <c r="E133" s="145"/>
      <c r="F133" s="145"/>
      <c r="G133" s="145"/>
      <c r="H133" s="145"/>
      <c r="I133" s="146" t="s">
        <v>1</v>
      </c>
      <c r="J133" s="147">
        <f>J70</f>
        <v>46113</v>
      </c>
      <c r="K133" s="148"/>
    </row>
    <row r="134" spans="1:11" ht="49" thickBot="1" x14ac:dyDescent="0.25">
      <c r="A134" s="67" t="s">
        <v>2</v>
      </c>
      <c r="B134" s="88" t="s">
        <v>131</v>
      </c>
      <c r="C134" s="183" t="s">
        <v>4</v>
      </c>
      <c r="D134" s="2" t="s">
        <v>5</v>
      </c>
      <c r="E134" s="149" t="s">
        <v>6</v>
      </c>
      <c r="F134" s="3" t="s">
        <v>7</v>
      </c>
      <c r="G134" s="4" t="s">
        <v>8</v>
      </c>
      <c r="H134" s="5" t="s">
        <v>9</v>
      </c>
      <c r="I134" s="6" t="s">
        <v>10</v>
      </c>
      <c r="J134" s="7" t="s">
        <v>113</v>
      </c>
      <c r="K134" s="8" t="s">
        <v>12</v>
      </c>
    </row>
    <row r="135" spans="1:11" ht="16" x14ac:dyDescent="0.2">
      <c r="A135" s="150">
        <v>2210100007</v>
      </c>
      <c r="B135" s="363" t="s">
        <v>239</v>
      </c>
      <c r="C135" s="153"/>
      <c r="D135" s="70">
        <v>9.5</v>
      </c>
      <c r="E135" s="153"/>
      <c r="F135" s="70">
        <v>4</v>
      </c>
      <c r="G135" s="71">
        <v>3</v>
      </c>
      <c r="H135" s="72">
        <f>D135+F135+G135</f>
        <v>16.5</v>
      </c>
      <c r="I135" s="333" t="s">
        <v>42</v>
      </c>
      <c r="J135" s="155">
        <v>25.5</v>
      </c>
      <c r="K135" s="156">
        <f t="shared" ref="K135:K156" si="13">H135*J135</f>
        <v>420.75</v>
      </c>
    </row>
    <row r="136" spans="1:11" ht="16" x14ac:dyDescent="0.2">
      <c r="A136" s="110">
        <v>2210100009</v>
      </c>
      <c r="B136" s="364" t="s">
        <v>240</v>
      </c>
      <c r="C136" s="69"/>
      <c r="D136" s="16">
        <v>10.5</v>
      </c>
      <c r="E136" s="69"/>
      <c r="F136" s="16">
        <v>2</v>
      </c>
      <c r="G136" s="17">
        <v>2</v>
      </c>
      <c r="H136" s="9">
        <f t="shared" ref="H136:H156" si="14">D136+F136+G136</f>
        <v>14.5</v>
      </c>
      <c r="I136" s="134" t="s">
        <v>42</v>
      </c>
      <c r="J136" s="50">
        <v>26.65</v>
      </c>
      <c r="K136" s="111">
        <f t="shared" si="13"/>
        <v>386.42499999999995</v>
      </c>
    </row>
    <row r="137" spans="1:11" ht="16" x14ac:dyDescent="0.2">
      <c r="A137" s="114">
        <v>2210100021</v>
      </c>
      <c r="B137" s="364" t="s">
        <v>241</v>
      </c>
      <c r="C137" s="69"/>
      <c r="D137" s="16">
        <v>10</v>
      </c>
      <c r="E137" s="69"/>
      <c r="F137" s="16">
        <v>3</v>
      </c>
      <c r="G137" s="17">
        <v>3</v>
      </c>
      <c r="H137" s="9"/>
      <c r="I137" s="134" t="s">
        <v>42</v>
      </c>
      <c r="J137" s="50">
        <v>25.5</v>
      </c>
      <c r="K137" s="111">
        <f t="shared" si="13"/>
        <v>0</v>
      </c>
    </row>
    <row r="138" spans="1:11" ht="16" x14ac:dyDescent="0.2">
      <c r="A138" s="112">
        <v>2210100141</v>
      </c>
      <c r="B138" s="364" t="s">
        <v>242</v>
      </c>
      <c r="C138" s="69"/>
      <c r="D138" s="16">
        <v>0.5</v>
      </c>
      <c r="E138" s="69"/>
      <c r="F138" s="16">
        <v>0</v>
      </c>
      <c r="G138" s="17">
        <v>0.5</v>
      </c>
      <c r="H138" s="9">
        <f t="shared" si="14"/>
        <v>1</v>
      </c>
      <c r="I138" s="134" t="s">
        <v>42</v>
      </c>
      <c r="J138" s="50">
        <v>30.85</v>
      </c>
      <c r="K138" s="111">
        <f t="shared" si="13"/>
        <v>30.85</v>
      </c>
    </row>
    <row r="139" spans="1:11" ht="16" x14ac:dyDescent="0.2">
      <c r="A139" s="112">
        <v>2210100268</v>
      </c>
      <c r="B139" s="364" t="s">
        <v>243</v>
      </c>
      <c r="C139" s="69"/>
      <c r="D139" s="16">
        <v>12</v>
      </c>
      <c r="E139" s="69"/>
      <c r="F139" s="16">
        <v>2</v>
      </c>
      <c r="G139" s="17">
        <v>1.5</v>
      </c>
      <c r="H139" s="9">
        <f t="shared" si="14"/>
        <v>15.5</v>
      </c>
      <c r="I139" s="134" t="s">
        <v>42</v>
      </c>
      <c r="J139" s="50">
        <v>23.25</v>
      </c>
      <c r="K139" s="111">
        <f t="shared" si="13"/>
        <v>360.375</v>
      </c>
    </row>
    <row r="140" spans="1:11" ht="16" x14ac:dyDescent="0.2">
      <c r="A140" s="112">
        <v>2210150006</v>
      </c>
      <c r="B140" s="364" t="s">
        <v>244</v>
      </c>
      <c r="C140" s="69"/>
      <c r="D140" s="16">
        <v>9.5</v>
      </c>
      <c r="E140" s="69"/>
      <c r="F140" s="16">
        <v>8</v>
      </c>
      <c r="G140" s="17">
        <v>2</v>
      </c>
      <c r="H140" s="9">
        <f t="shared" si="14"/>
        <v>19.5</v>
      </c>
      <c r="I140" s="134" t="s">
        <v>42</v>
      </c>
      <c r="J140" s="50">
        <v>31.4</v>
      </c>
      <c r="K140" s="111">
        <f t="shared" si="13"/>
        <v>612.29999999999995</v>
      </c>
    </row>
    <row r="141" spans="1:11" ht="16" x14ac:dyDescent="0.2">
      <c r="A141" s="112">
        <v>2210150029</v>
      </c>
      <c r="B141" s="364" t="s">
        <v>245</v>
      </c>
      <c r="C141" s="69"/>
      <c r="D141" s="16">
        <v>2</v>
      </c>
      <c r="E141" s="69"/>
      <c r="F141" s="16">
        <v>15</v>
      </c>
      <c r="G141" s="17">
        <v>0.5</v>
      </c>
      <c r="H141" s="9">
        <f t="shared" si="14"/>
        <v>17.5</v>
      </c>
      <c r="I141" s="134" t="s">
        <v>42</v>
      </c>
      <c r="J141" s="50">
        <v>24.8</v>
      </c>
      <c r="K141" s="111">
        <f t="shared" si="13"/>
        <v>434</v>
      </c>
    </row>
    <row r="142" spans="1:11" ht="16" x14ac:dyDescent="0.2">
      <c r="A142" s="112">
        <v>2210150264</v>
      </c>
      <c r="B142" s="364" t="s">
        <v>246</v>
      </c>
      <c r="C142" s="69"/>
      <c r="D142" s="16">
        <v>5.5</v>
      </c>
      <c r="E142" s="69"/>
      <c r="F142" s="16">
        <v>4</v>
      </c>
      <c r="G142" s="17">
        <v>0.5</v>
      </c>
      <c r="H142" s="9">
        <f>D142+F142+G142</f>
        <v>10</v>
      </c>
      <c r="I142" s="134" t="s">
        <v>42</v>
      </c>
      <c r="J142" s="50">
        <v>31.4</v>
      </c>
      <c r="K142" s="111">
        <f>H142*J142</f>
        <v>314</v>
      </c>
    </row>
    <row r="143" spans="1:11" ht="16" x14ac:dyDescent="0.2">
      <c r="A143" s="112">
        <v>2230310104</v>
      </c>
      <c r="B143" s="364" t="s">
        <v>247</v>
      </c>
      <c r="C143" s="69"/>
      <c r="D143" s="16">
        <v>0</v>
      </c>
      <c r="E143" s="69"/>
      <c r="F143" s="16">
        <v>0</v>
      </c>
      <c r="G143" s="17">
        <v>0</v>
      </c>
      <c r="H143" s="9">
        <f t="shared" si="14"/>
        <v>0</v>
      </c>
      <c r="I143" s="134" t="s">
        <v>42</v>
      </c>
      <c r="J143" s="50">
        <v>33</v>
      </c>
      <c r="K143" s="111">
        <f t="shared" si="13"/>
        <v>0</v>
      </c>
    </row>
    <row r="144" spans="1:11" ht="16" x14ac:dyDescent="0.2">
      <c r="A144" s="112">
        <v>2230310089</v>
      </c>
      <c r="B144" s="364" t="s">
        <v>249</v>
      </c>
      <c r="C144" s="69"/>
      <c r="D144" s="16">
        <v>0</v>
      </c>
      <c r="E144" s="69"/>
      <c r="F144" s="16">
        <v>0</v>
      </c>
      <c r="G144" s="17">
        <v>0</v>
      </c>
      <c r="H144" s="9">
        <f t="shared" si="14"/>
        <v>0</v>
      </c>
      <c r="I144" s="134" t="s">
        <v>42</v>
      </c>
      <c r="J144" s="50">
        <v>33</v>
      </c>
      <c r="K144" s="111">
        <f t="shared" si="13"/>
        <v>0</v>
      </c>
    </row>
    <row r="145" spans="1:11" ht="16" x14ac:dyDescent="0.2">
      <c r="A145" s="112">
        <v>2010400126</v>
      </c>
      <c r="B145" s="364" t="s">
        <v>248</v>
      </c>
      <c r="C145" s="69"/>
      <c r="D145" s="16">
        <v>0</v>
      </c>
      <c r="E145" s="69"/>
      <c r="F145" s="16">
        <v>0</v>
      </c>
      <c r="G145" s="17">
        <v>0</v>
      </c>
      <c r="H145" s="9">
        <f t="shared" si="14"/>
        <v>0</v>
      </c>
      <c r="I145" s="134" t="s">
        <v>42</v>
      </c>
      <c r="J145" s="50">
        <v>29.4</v>
      </c>
      <c r="K145" s="111">
        <f t="shared" si="13"/>
        <v>0</v>
      </c>
    </row>
    <row r="146" spans="1:11" ht="16" x14ac:dyDescent="0.2">
      <c r="A146" s="112">
        <v>2210100016</v>
      </c>
      <c r="B146" s="364" t="s">
        <v>250</v>
      </c>
      <c r="C146" s="69"/>
      <c r="D146" s="16">
        <v>13</v>
      </c>
      <c r="E146" s="69"/>
      <c r="F146" s="16">
        <v>2</v>
      </c>
      <c r="G146" s="17">
        <v>3</v>
      </c>
      <c r="H146" s="9">
        <f t="shared" si="14"/>
        <v>18</v>
      </c>
      <c r="I146" s="134" t="s">
        <v>42</v>
      </c>
      <c r="J146" s="50">
        <v>26.95</v>
      </c>
      <c r="K146" s="111">
        <f t="shared" si="13"/>
        <v>485.09999999999997</v>
      </c>
    </row>
    <row r="147" spans="1:11" ht="16" x14ac:dyDescent="0.2">
      <c r="A147" s="112">
        <v>2210100018</v>
      </c>
      <c r="B147" s="364" t="s">
        <v>251</v>
      </c>
      <c r="C147" s="69"/>
      <c r="D147" s="16">
        <v>5.5</v>
      </c>
      <c r="E147" s="69"/>
      <c r="F147" s="16">
        <v>3.5</v>
      </c>
      <c r="G147" s="17">
        <v>3</v>
      </c>
      <c r="H147" s="9">
        <f t="shared" si="14"/>
        <v>12</v>
      </c>
      <c r="I147" s="134" t="s">
        <v>42</v>
      </c>
      <c r="J147" s="50">
        <v>26.95</v>
      </c>
      <c r="K147" s="111">
        <f t="shared" si="13"/>
        <v>323.39999999999998</v>
      </c>
    </row>
    <row r="148" spans="1:11" ht="16" x14ac:dyDescent="0.2">
      <c r="A148" s="112">
        <v>2210100053</v>
      </c>
      <c r="B148" s="364" t="s">
        <v>252</v>
      </c>
      <c r="C148" s="90"/>
      <c r="D148" s="53">
        <v>0.5</v>
      </c>
      <c r="E148" s="90"/>
      <c r="F148" s="53">
        <v>0.5</v>
      </c>
      <c r="G148" s="54">
        <v>0.5</v>
      </c>
      <c r="H148" s="9">
        <f t="shared" si="14"/>
        <v>1.5</v>
      </c>
      <c r="I148" s="135" t="s">
        <v>42</v>
      </c>
      <c r="J148" s="55">
        <v>31.2</v>
      </c>
      <c r="K148" s="119">
        <f t="shared" si="13"/>
        <v>46.8</v>
      </c>
    </row>
    <row r="149" spans="1:11" ht="16" x14ac:dyDescent="0.2">
      <c r="A149" s="110">
        <v>2210100074</v>
      </c>
      <c r="B149" s="364" t="s">
        <v>253</v>
      </c>
      <c r="C149" s="69"/>
      <c r="D149" s="16">
        <v>1</v>
      </c>
      <c r="E149" s="69"/>
      <c r="F149" s="16">
        <v>1</v>
      </c>
      <c r="G149" s="17">
        <v>1</v>
      </c>
      <c r="H149" s="9">
        <f t="shared" si="14"/>
        <v>3</v>
      </c>
      <c r="I149" s="134" t="s">
        <v>42</v>
      </c>
      <c r="J149" s="50">
        <v>33</v>
      </c>
      <c r="K149" s="111">
        <f t="shared" si="13"/>
        <v>99</v>
      </c>
    </row>
    <row r="150" spans="1:11" ht="16" x14ac:dyDescent="0.2">
      <c r="A150" s="112">
        <v>2210100091</v>
      </c>
      <c r="B150" s="364" t="s">
        <v>254</v>
      </c>
      <c r="C150" s="69"/>
      <c r="D150" s="16">
        <v>0.75</v>
      </c>
      <c r="E150" s="69"/>
      <c r="F150" s="16">
        <v>0</v>
      </c>
      <c r="G150" s="17">
        <v>1</v>
      </c>
      <c r="H150" s="9">
        <f t="shared" si="14"/>
        <v>1.75</v>
      </c>
      <c r="I150" s="134" t="s">
        <v>42</v>
      </c>
      <c r="J150" s="50">
        <v>48</v>
      </c>
      <c r="K150" s="111">
        <f t="shared" si="13"/>
        <v>84</v>
      </c>
    </row>
    <row r="151" spans="1:11" ht="16" x14ac:dyDescent="0.2">
      <c r="A151" s="112">
        <v>2210100151</v>
      </c>
      <c r="B151" s="364" t="s">
        <v>255</v>
      </c>
      <c r="C151" s="69"/>
      <c r="D151" s="16">
        <v>2</v>
      </c>
      <c r="E151" s="69"/>
      <c r="F151" s="16">
        <v>0.5</v>
      </c>
      <c r="G151" s="17">
        <v>1</v>
      </c>
      <c r="H151" s="9">
        <f>D151+F151+G151</f>
        <v>3.5</v>
      </c>
      <c r="I151" s="134" t="s">
        <v>42</v>
      </c>
      <c r="J151" s="50">
        <v>30</v>
      </c>
      <c r="K151" s="111">
        <f t="shared" si="13"/>
        <v>105</v>
      </c>
    </row>
    <row r="152" spans="1:11" ht="16" x14ac:dyDescent="0.2">
      <c r="A152" s="112">
        <v>2210101187</v>
      </c>
      <c r="B152" s="365" t="s">
        <v>256</v>
      </c>
      <c r="C152" s="69"/>
      <c r="D152" s="16">
        <v>1.5</v>
      </c>
      <c r="E152" s="69"/>
      <c r="F152" s="16">
        <v>3</v>
      </c>
      <c r="G152" s="17">
        <v>0</v>
      </c>
      <c r="H152" s="9">
        <f t="shared" si="14"/>
        <v>4.5</v>
      </c>
      <c r="I152" s="134" t="s">
        <v>42</v>
      </c>
      <c r="J152" s="50">
        <v>25.6</v>
      </c>
      <c r="K152" s="111">
        <f t="shared" si="13"/>
        <v>115.2</v>
      </c>
    </row>
    <row r="153" spans="1:11" ht="16" hidden="1" x14ac:dyDescent="0.2">
      <c r="A153" s="112">
        <v>2210300010</v>
      </c>
      <c r="B153" s="366" t="s">
        <v>257</v>
      </c>
      <c r="C153" s="69"/>
      <c r="D153" s="16">
        <v>4.5</v>
      </c>
      <c r="E153" s="69"/>
      <c r="F153" s="16">
        <v>5</v>
      </c>
      <c r="G153" s="17">
        <v>0.5</v>
      </c>
      <c r="H153" s="9">
        <f t="shared" si="14"/>
        <v>10</v>
      </c>
      <c r="I153" s="134" t="s">
        <v>42</v>
      </c>
      <c r="J153" s="50">
        <v>30.22</v>
      </c>
      <c r="K153" s="111">
        <f t="shared" si="13"/>
        <v>302.2</v>
      </c>
    </row>
    <row r="154" spans="1:11" ht="16" x14ac:dyDescent="0.2">
      <c r="A154" s="112">
        <v>2210300010</v>
      </c>
      <c r="B154" s="364" t="s">
        <v>258</v>
      </c>
      <c r="C154" s="69"/>
      <c r="D154" s="16">
        <v>1</v>
      </c>
      <c r="E154" s="69"/>
      <c r="F154" s="16">
        <v>2</v>
      </c>
      <c r="G154" s="17">
        <v>0</v>
      </c>
      <c r="H154" s="15">
        <f t="shared" si="14"/>
        <v>3</v>
      </c>
      <c r="I154" s="96" t="s">
        <v>42</v>
      </c>
      <c r="J154" s="50">
        <v>27</v>
      </c>
      <c r="K154" s="113">
        <f t="shared" si="13"/>
        <v>81</v>
      </c>
    </row>
    <row r="155" spans="1:11" ht="16" x14ac:dyDescent="0.2">
      <c r="A155" s="112">
        <v>2210150092</v>
      </c>
      <c r="B155" s="365" t="s">
        <v>259</v>
      </c>
      <c r="C155" s="69"/>
      <c r="D155" s="16">
        <v>1</v>
      </c>
      <c r="E155" s="69"/>
      <c r="F155" s="16">
        <v>1</v>
      </c>
      <c r="G155" s="16">
        <v>1</v>
      </c>
      <c r="H155" s="15">
        <f t="shared" si="14"/>
        <v>3</v>
      </c>
      <c r="I155" s="133" t="s">
        <v>42</v>
      </c>
      <c r="J155" s="50">
        <v>30</v>
      </c>
      <c r="K155" s="113">
        <f t="shared" si="13"/>
        <v>90</v>
      </c>
    </row>
    <row r="156" spans="1:11" ht="17" thickBot="1" x14ac:dyDescent="0.25">
      <c r="A156" s="112">
        <v>2230300258</v>
      </c>
      <c r="B156" s="367" t="s">
        <v>260</v>
      </c>
      <c r="C156" s="69"/>
      <c r="D156" s="16">
        <v>2</v>
      </c>
      <c r="E156" s="69"/>
      <c r="F156" s="16">
        <v>0</v>
      </c>
      <c r="G156" s="16">
        <v>0</v>
      </c>
      <c r="H156" s="15">
        <f t="shared" si="14"/>
        <v>2</v>
      </c>
      <c r="I156" s="133" t="s">
        <v>42</v>
      </c>
      <c r="J156" s="50">
        <v>36.450000000000003</v>
      </c>
      <c r="K156" s="113">
        <f t="shared" si="13"/>
        <v>72.900000000000006</v>
      </c>
    </row>
    <row r="157" spans="1:11" ht="49" thickBot="1" x14ac:dyDescent="0.25">
      <c r="A157" s="67" t="s">
        <v>2</v>
      </c>
      <c r="B157" s="88" t="s">
        <v>155</v>
      </c>
      <c r="C157" s="183" t="s">
        <v>4</v>
      </c>
      <c r="D157" s="2" t="s">
        <v>5</v>
      </c>
      <c r="E157" s="149" t="s">
        <v>6</v>
      </c>
      <c r="F157" s="3" t="s">
        <v>7</v>
      </c>
      <c r="G157" s="4" t="s">
        <v>8</v>
      </c>
      <c r="H157" s="5" t="s">
        <v>9</v>
      </c>
      <c r="I157" s="6" t="s">
        <v>10</v>
      </c>
      <c r="J157" s="7" t="s">
        <v>113</v>
      </c>
      <c r="K157" s="8" t="s">
        <v>12</v>
      </c>
    </row>
    <row r="158" spans="1:11" x14ac:dyDescent="0.2">
      <c r="A158" s="110">
        <v>2210200045</v>
      </c>
      <c r="B158" s="94" t="s">
        <v>252</v>
      </c>
      <c r="C158" s="42"/>
      <c r="D158" s="10">
        <v>1</v>
      </c>
      <c r="E158" s="89"/>
      <c r="F158" s="89"/>
      <c r="G158" s="10">
        <v>2</v>
      </c>
      <c r="H158" s="9">
        <f>SUM(D158:G158)</f>
        <v>3</v>
      </c>
      <c r="I158" s="9" t="s">
        <v>134</v>
      </c>
      <c r="J158" s="49">
        <v>181.75</v>
      </c>
      <c r="K158" s="111">
        <f>H158*J158</f>
        <v>545.25</v>
      </c>
    </row>
    <row r="159" spans="1:11" hidden="1" x14ac:dyDescent="0.2">
      <c r="A159" s="110">
        <v>2210200262</v>
      </c>
      <c r="B159" s="94" t="s">
        <v>139</v>
      </c>
      <c r="C159" s="42"/>
      <c r="D159" s="10">
        <v>2</v>
      </c>
      <c r="E159" s="89"/>
      <c r="F159" s="89"/>
      <c r="G159" s="11">
        <v>0</v>
      </c>
      <c r="H159" s="12">
        <f>SUM(C159:G159)</f>
        <v>2</v>
      </c>
      <c r="I159" s="13" t="s">
        <v>134</v>
      </c>
      <c r="J159" s="49">
        <v>148.75</v>
      </c>
      <c r="K159" s="111">
        <f>H159*J159</f>
        <v>297.5</v>
      </c>
    </row>
    <row r="160" spans="1:11" x14ac:dyDescent="0.2">
      <c r="A160" s="112">
        <v>2210200072</v>
      </c>
      <c r="B160" s="95" t="s">
        <v>251</v>
      </c>
      <c r="C160" s="25"/>
      <c r="D160" s="16">
        <v>2</v>
      </c>
      <c r="E160" s="69"/>
      <c r="F160" s="69"/>
      <c r="G160" s="17">
        <v>0</v>
      </c>
      <c r="H160" s="12">
        <f t="shared" ref="H160:H163" si="15">SUM(D160:G160)</f>
        <v>2</v>
      </c>
      <c r="I160" s="13" t="s">
        <v>134</v>
      </c>
      <c r="J160" s="50">
        <v>181.75</v>
      </c>
      <c r="K160" s="111">
        <f t="shared" ref="K160:K163" si="16">H160*J160</f>
        <v>363.5</v>
      </c>
    </row>
    <row r="161" spans="1:11" x14ac:dyDescent="0.2">
      <c r="A161" s="122">
        <v>2210200083</v>
      </c>
      <c r="B161" s="95" t="s">
        <v>261</v>
      </c>
      <c r="C161" s="25"/>
      <c r="D161" s="16">
        <v>2.5</v>
      </c>
      <c r="E161" s="69"/>
      <c r="F161" s="69"/>
      <c r="G161" s="17">
        <v>2</v>
      </c>
      <c r="H161" s="12">
        <f t="shared" si="15"/>
        <v>4.5</v>
      </c>
      <c r="I161" s="13" t="s">
        <v>134</v>
      </c>
      <c r="J161" s="50">
        <v>206</v>
      </c>
      <c r="K161" s="111">
        <f t="shared" si="16"/>
        <v>927</v>
      </c>
    </row>
    <row r="162" spans="1:11" x14ac:dyDescent="0.2">
      <c r="A162" s="112">
        <v>2210200345</v>
      </c>
      <c r="B162" s="95" t="s">
        <v>262</v>
      </c>
      <c r="C162" s="25"/>
      <c r="D162" s="16">
        <v>2</v>
      </c>
      <c r="E162" s="69"/>
      <c r="F162" s="69"/>
      <c r="G162" s="17">
        <v>1</v>
      </c>
      <c r="H162" s="12">
        <f t="shared" si="15"/>
        <v>3</v>
      </c>
      <c r="I162" s="13" t="s">
        <v>134</v>
      </c>
      <c r="J162" s="50">
        <v>210</v>
      </c>
      <c r="K162" s="111">
        <f t="shared" si="16"/>
        <v>630</v>
      </c>
    </row>
    <row r="163" spans="1:11" ht="16" thickBot="1" x14ac:dyDescent="0.25">
      <c r="A163" s="123">
        <v>2210200485</v>
      </c>
      <c r="B163" s="124" t="s">
        <v>263</v>
      </c>
      <c r="C163" s="109"/>
      <c r="D163" s="76">
        <v>2.5</v>
      </c>
      <c r="E163" s="120"/>
      <c r="F163" s="120"/>
      <c r="G163" s="77">
        <v>0</v>
      </c>
      <c r="H163" s="100">
        <f t="shared" si="15"/>
        <v>2.5</v>
      </c>
      <c r="I163" s="125" t="s">
        <v>134</v>
      </c>
      <c r="J163" s="117">
        <v>184</v>
      </c>
      <c r="K163" s="126">
        <f t="shared" si="16"/>
        <v>460</v>
      </c>
    </row>
    <row r="164" spans="1:11" ht="16" x14ac:dyDescent="0.2">
      <c r="H164" s="57" t="s">
        <v>138</v>
      </c>
      <c r="I164" s="58"/>
      <c r="J164" s="136"/>
      <c r="K164" s="136">
        <f>SUM(K106:K127,K135:K156,K158:K163)</f>
        <v>9177.6450000000004</v>
      </c>
    </row>
  </sheetData>
  <pageMargins left="0" right="0" top="0.25" bottom="0.25" header="0.3" footer="0.3"/>
  <pageSetup scale="78" orientation="portrait" r:id="rId1"/>
  <headerFooter>
    <oddHeader>&amp;C&amp;"-,Bold"&amp;14Casino Ops Monthly Liquor Inventory</oddHead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 Master</vt:lpstr>
      <vt:lpstr>Jan</vt:lpstr>
      <vt:lpstr>Feb</vt:lpstr>
      <vt:lpstr>Mar</vt:lpstr>
      <vt:lpstr>Apr</vt:lpstr>
      <vt:lpstr>May</vt:lpstr>
      <vt:lpstr>June</vt:lpstr>
      <vt:lpstr>July</vt:lpstr>
      <vt:lpstr>August</vt:lpstr>
      <vt:lpstr>Sept</vt:lpstr>
      <vt:lpstr>October</vt:lpstr>
      <vt:lpstr>November</vt:lpstr>
      <vt:lpstr>December</vt:lpstr>
    </vt:vector>
  </TitlesOfParts>
  <Company>Caesars Entertainment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Bowen</dc:creator>
  <cp:lastModifiedBy>Evin Thuman</cp:lastModifiedBy>
  <cp:lastPrinted>2026-04-05T16:06:36Z</cp:lastPrinted>
  <dcterms:created xsi:type="dcterms:W3CDTF">2024-01-01T12:34:14Z</dcterms:created>
  <dcterms:modified xsi:type="dcterms:W3CDTF">2026-04-15T03:21:58Z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